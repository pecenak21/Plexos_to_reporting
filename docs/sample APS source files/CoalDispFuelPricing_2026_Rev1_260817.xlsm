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7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OUTPUT\CWP_2026_07_31\Tools\"/>
    </mc:Choice>
  </mc:AlternateContent>
  <xr:revisionPtr revIDLastSave="2" documentId="13_ncr:1_{FBE0E685-8E1E-4039-B6EF-04A4319EBFBA}" xr6:coauthVersionLast="47" xr6:coauthVersionMax="47" xr10:uidLastSave="{628A0985-EA42-4374-9885-1E2D7DA42BD7}"/>
  <bookViews>
    <workbookView xWindow="31110" yWindow="1305" windowWidth="21600" windowHeight="11295" firstSheet="3" activeTab="3" xr2:uid="{00000000-000D-0000-FFFF-FFFF00000000}"/>
  </bookViews>
  <sheets>
    <sheet name="Instructions" sheetId="5" r:id="rId1"/>
    <sheet name="Assumptions" sheetId="3" r:id="rId2"/>
    <sheet name="Prices" sheetId="4" r:id="rId3"/>
    <sheet name="Calcs" sheetId="1" r:id="rId4"/>
    <sheet name="RTSim_Cards" sheetId="2" r:id="rId5"/>
  </sheets>
  <externalReferences>
    <externalReference r:id="rId6"/>
    <externalReference r:id="rId7"/>
    <externalReference r:id="rId8"/>
    <externalReference r:id="rId9"/>
  </externalReferences>
  <definedNames>
    <definedName name="_xleta.AND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" l="1"/>
  <c r="D15" i="1" l="1"/>
  <c r="B86" i="1" l="1" a="1"/>
  <c r="B86" i="1" s="1"/>
  <c r="Q18" i="3"/>
  <c r="Q19" i="3"/>
  <c r="Q20" i="3" s="1"/>
  <c r="Q21" i="3" s="1"/>
  <c r="Q22" i="3" s="1"/>
  <c r="Q23" i="3" s="1"/>
  <c r="Q17" i="3"/>
  <c r="B82" i="1"/>
  <c r="A8" i="2"/>
  <c r="R19" i="3" l="1"/>
  <c r="R17" i="3"/>
  <c r="Q10" i="4"/>
  <c r="L10" i="4" s="1"/>
  <c r="A26" i="2"/>
  <c r="A24" i="2"/>
  <c r="A20" i="2"/>
  <c r="N20" i="2" s="1"/>
  <c r="A22" i="2"/>
  <c r="J13" i="3"/>
  <c r="L8" i="3"/>
  <c r="J14" i="3"/>
  <c r="J15" i="3"/>
  <c r="J16" i="3"/>
  <c r="J17" i="3"/>
  <c r="J18" i="3"/>
  <c r="J19" i="3"/>
  <c r="J20" i="3"/>
  <c r="J21" i="3"/>
  <c r="R16" i="3"/>
  <c r="R15" i="3"/>
  <c r="R14" i="3"/>
  <c r="R13" i="3"/>
  <c r="R12" i="3"/>
  <c r="R11" i="3"/>
  <c r="P6" i="3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A26" i="3"/>
  <c r="A20" i="3"/>
  <c r="A21" i="3" s="1"/>
  <c r="A22" i="3" s="1"/>
  <c r="A23" i="3" s="1"/>
  <c r="A24" i="3" s="1"/>
  <c r="A25" i="3" s="1"/>
  <c r="R20" i="3" l="1"/>
  <c r="R18" i="3"/>
  <c r="A16" i="2"/>
  <c r="A18" i="2"/>
  <c r="N18" i="2" s="1"/>
  <c r="H10" i="4"/>
  <c r="Q11" i="4"/>
  <c r="R11" i="4"/>
  <c r="Q12" i="4"/>
  <c r="R12" i="4"/>
  <c r="Q13" i="4"/>
  <c r="R13" i="4"/>
  <c r="Q14" i="4"/>
  <c r="R14" i="4"/>
  <c r="Q15" i="4"/>
  <c r="R15" i="4"/>
  <c r="Q16" i="4"/>
  <c r="R16" i="4"/>
  <c r="Q17" i="4"/>
  <c r="R17" i="4"/>
  <c r="Q18" i="4"/>
  <c r="R18" i="4"/>
  <c r="Q19" i="4"/>
  <c r="R19" i="4"/>
  <c r="Q20" i="4"/>
  <c r="R20" i="4"/>
  <c r="Q21" i="4"/>
  <c r="R21" i="4"/>
  <c r="R10" i="4"/>
  <c r="N10" i="4" s="1"/>
  <c r="N6" i="2" a="1"/>
  <c r="N6" i="2" s="1"/>
  <c r="H13" i="3"/>
  <c r="H12" i="3"/>
  <c r="H11" i="3"/>
  <c r="G13" i="3"/>
  <c r="G12" i="3"/>
  <c r="G11" i="3"/>
  <c r="R21" i="3" l="1"/>
  <c r="J22" i="3"/>
  <c r="C5" i="4"/>
  <c r="D5" i="4" a="1"/>
  <c r="R23" i="3" l="1"/>
  <c r="R22" i="3"/>
  <c r="J23" i="3"/>
  <c r="D5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J24" i="3" l="1"/>
  <c r="O11" i="4"/>
  <c r="P11" i="4"/>
  <c r="O12" i="4"/>
  <c r="P12" i="4"/>
  <c r="O13" i="4"/>
  <c r="P13" i="4"/>
  <c r="O14" i="4"/>
  <c r="P14" i="4"/>
  <c r="O15" i="4"/>
  <c r="P15" i="4"/>
  <c r="O16" i="4"/>
  <c r="P16" i="4"/>
  <c r="O17" i="4"/>
  <c r="P17" i="4"/>
  <c r="O18" i="4"/>
  <c r="P18" i="4"/>
  <c r="O19" i="4"/>
  <c r="P19" i="4"/>
  <c r="O20" i="4"/>
  <c r="P20" i="4"/>
  <c r="O21" i="4"/>
  <c r="P21" i="4"/>
  <c r="O22" i="4"/>
  <c r="P22" i="4"/>
  <c r="O23" i="4"/>
  <c r="P23" i="4"/>
  <c r="O24" i="4"/>
  <c r="P24" i="4"/>
  <c r="O25" i="4"/>
  <c r="P25" i="4"/>
  <c r="O26" i="4"/>
  <c r="P26" i="4"/>
  <c r="O27" i="4"/>
  <c r="P27" i="4"/>
  <c r="O28" i="4"/>
  <c r="P28" i="4"/>
  <c r="O29" i="4"/>
  <c r="P29" i="4"/>
  <c r="O30" i="4"/>
  <c r="P30" i="4"/>
  <c r="O31" i="4"/>
  <c r="P31" i="4"/>
  <c r="O32" i="4"/>
  <c r="P32" i="4"/>
  <c r="O33" i="4"/>
  <c r="P33" i="4"/>
  <c r="O34" i="4"/>
  <c r="P34" i="4"/>
  <c r="O35" i="4"/>
  <c r="P35" i="4"/>
  <c r="O36" i="4"/>
  <c r="P36" i="4"/>
  <c r="O37" i="4"/>
  <c r="P37" i="4"/>
  <c r="O38" i="4"/>
  <c r="P38" i="4"/>
  <c r="O39" i="4"/>
  <c r="P39" i="4"/>
  <c r="O40" i="4"/>
  <c r="P40" i="4"/>
  <c r="O41" i="4"/>
  <c r="P41" i="4"/>
  <c r="O42" i="4"/>
  <c r="P42" i="4"/>
  <c r="O43" i="4"/>
  <c r="P43" i="4"/>
  <c r="O44" i="4"/>
  <c r="P44" i="4"/>
  <c r="O45" i="4"/>
  <c r="P45" i="4"/>
  <c r="O46" i="4"/>
  <c r="P46" i="4"/>
  <c r="O47" i="4"/>
  <c r="P47" i="4"/>
  <c r="O48" i="4"/>
  <c r="P48" i="4"/>
  <c r="O49" i="4"/>
  <c r="P49" i="4"/>
  <c r="O50" i="4"/>
  <c r="P50" i="4"/>
  <c r="O51" i="4"/>
  <c r="P51" i="4"/>
  <c r="O52" i="4"/>
  <c r="P52" i="4"/>
  <c r="O53" i="4"/>
  <c r="P53" i="4"/>
  <c r="O54" i="4"/>
  <c r="P54" i="4"/>
  <c r="O55" i="4"/>
  <c r="P55" i="4"/>
  <c r="O56" i="4"/>
  <c r="P56" i="4"/>
  <c r="O57" i="4"/>
  <c r="P57" i="4"/>
  <c r="P10" i="4"/>
  <c r="O10" i="4"/>
  <c r="J26" i="3" l="1"/>
  <c r="J25" i="3"/>
  <c r="H10" i="3"/>
  <c r="H9" i="3"/>
  <c r="D9" i="3"/>
  <c r="J6" i="1"/>
  <c r="J7" i="4"/>
  <c r="K9" i="3"/>
  <c r="E9" i="3"/>
  <c r="M9" i="3" l="1"/>
  <c r="C9" i="3"/>
  <c r="R31" i="4" l="1"/>
  <c r="R43" i="4" s="1"/>
  <c r="R55" i="4" s="1"/>
  <c r="R30" i="4"/>
  <c r="R42" i="4" s="1"/>
  <c r="R54" i="4" s="1"/>
  <c r="Q28" i="4"/>
  <c r="Q40" i="4" s="1"/>
  <c r="Q52" i="4" s="1"/>
  <c r="Q31" i="4"/>
  <c r="Q43" i="4" s="1"/>
  <c r="Q55" i="4" s="1"/>
  <c r="Q25" i="4"/>
  <c r="Q37" i="4" s="1"/>
  <c r="Q49" i="4" s="1"/>
  <c r="R24" i="4"/>
  <c r="R36" i="4" s="1"/>
  <c r="R48" i="4" s="1"/>
  <c r="R25" i="4"/>
  <c r="R37" i="4" s="1"/>
  <c r="R49" i="4" s="1"/>
  <c r="Q33" i="4"/>
  <c r="Q45" i="4" s="1"/>
  <c r="Q57" i="4" s="1"/>
  <c r="Q27" i="4"/>
  <c r="Q39" i="4" s="1"/>
  <c r="Q51" i="4" s="1"/>
  <c r="R32" i="4"/>
  <c r="R44" i="4" s="1"/>
  <c r="R56" i="4" s="1"/>
  <c r="R26" i="4"/>
  <c r="R38" i="4" s="1"/>
  <c r="R50" i="4" s="1"/>
  <c r="Q32" i="4"/>
  <c r="Q44" i="4" s="1"/>
  <c r="Q56" i="4" s="1"/>
  <c r="Q26" i="4"/>
  <c r="Q38" i="4" s="1"/>
  <c r="Q50" i="4" s="1"/>
  <c r="Q30" i="4"/>
  <c r="Q42" i="4" s="1"/>
  <c r="Q54" i="4" s="1"/>
  <c r="Q24" i="4"/>
  <c r="Q36" i="4" s="1"/>
  <c r="Q48" i="4" s="1"/>
  <c r="R29" i="4"/>
  <c r="R41" i="4" s="1"/>
  <c r="R53" i="4" s="1"/>
  <c r="R23" i="4"/>
  <c r="R35" i="4" s="1"/>
  <c r="R47" i="4" s="1"/>
  <c r="Q29" i="4"/>
  <c r="Q41" i="4" s="1"/>
  <c r="Q53" i="4" s="1"/>
  <c r="Q23" i="4"/>
  <c r="Q35" i="4" s="1"/>
  <c r="Q47" i="4" s="1"/>
  <c r="Q22" i="4"/>
  <c r="Q34" i="4" s="1"/>
  <c r="Q46" i="4" s="1"/>
  <c r="R28" i="4"/>
  <c r="R40" i="4" s="1"/>
  <c r="R52" i="4" s="1"/>
  <c r="R22" i="4"/>
  <c r="R34" i="4" s="1"/>
  <c r="R46" i="4" s="1"/>
  <c r="R33" i="4"/>
  <c r="R45" i="4" s="1"/>
  <c r="R57" i="4" s="1"/>
  <c r="R27" i="4"/>
  <c r="R39" i="4" s="1"/>
  <c r="R51" i="4" s="1"/>
  <c r="A30" i="2"/>
  <c r="N30" i="2" s="1"/>
  <c r="N16" i="2"/>
  <c r="A14" i="2"/>
  <c r="N14" i="2" s="1"/>
  <c r="A12" i="2"/>
  <c r="N12" i="2" s="1"/>
  <c r="A10" i="2"/>
  <c r="N10" i="2" s="1"/>
  <c r="N8" i="2"/>
  <c r="A6" i="2"/>
  <c r="O15" i="1" l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14" i="1"/>
  <c r="A1" i="1"/>
  <c r="B85" i="1"/>
  <c r="B84" i="1"/>
  <c r="B83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M10" i="3" l="1"/>
  <c r="M11" i="3" s="1"/>
  <c r="M12" i="3" s="1"/>
  <c r="M13" i="3" s="1"/>
  <c r="M14" i="3" s="1"/>
  <c r="M15" i="3" s="1"/>
  <c r="M16" i="3" s="1"/>
  <c r="M17" i="3" s="1"/>
  <c r="M18" i="3" s="1"/>
  <c r="M19" i="3" s="1"/>
  <c r="M20" i="3" s="1"/>
  <c r="M21" i="3" s="1"/>
  <c r="M22" i="3" s="1"/>
  <c r="M23" i="3" s="1"/>
  <c r="M24" i="3" s="1"/>
  <c r="M25" i="3" s="1"/>
  <c r="M26" i="3" s="1"/>
  <c r="K10" i="3"/>
  <c r="K11" i="3" s="1"/>
  <c r="K12" i="3" s="1"/>
  <c r="E10" i="3"/>
  <c r="E11" i="3" s="1"/>
  <c r="E12" i="3" s="1"/>
  <c r="E13" i="3" s="1"/>
  <c r="K13" i="3" l="1"/>
  <c r="K14" i="3" s="1"/>
  <c r="K15" i="3" s="1"/>
  <c r="L12" i="3"/>
  <c r="B10" i="3"/>
  <c r="K16" i="3" l="1"/>
  <c r="L15" i="3"/>
  <c r="B11" i="3"/>
  <c r="K17" i="3" l="1"/>
  <c r="K18" i="3" s="1"/>
  <c r="K19" i="3" s="1"/>
  <c r="K20" i="3" s="1"/>
  <c r="B12" i="3"/>
  <c r="L13" i="4"/>
  <c r="L15" i="4"/>
  <c r="K21" i="3" l="1"/>
  <c r="L20" i="3"/>
  <c r="N20" i="3" s="1"/>
  <c r="B13" i="3"/>
  <c r="L21" i="4"/>
  <c r="L18" i="4"/>
  <c r="L20" i="4"/>
  <c r="L19" i="4"/>
  <c r="L17" i="4"/>
  <c r="L16" i="4"/>
  <c r="L14" i="4"/>
  <c r="L12" i="4"/>
  <c r="L11" i="4"/>
  <c r="K22" i="3" l="1"/>
  <c r="L21" i="3"/>
  <c r="N21" i="3" s="1"/>
  <c r="B14" i="3"/>
  <c r="B15" i="3" s="1"/>
  <c r="B16" i="3" s="1"/>
  <c r="B17" i="3" s="1"/>
  <c r="B18" i="3" s="1"/>
  <c r="B19" i="3" s="1"/>
  <c r="L25" i="4"/>
  <c r="L23" i="4"/>
  <c r="L29" i="4"/>
  <c r="L31" i="4"/>
  <c r="L27" i="4"/>
  <c r="L32" i="4"/>
  <c r="L24" i="4"/>
  <c r="L30" i="4"/>
  <c r="L26" i="4"/>
  <c r="L33" i="4"/>
  <c r="L28" i="4"/>
  <c r="L37" i="4"/>
  <c r="A7" i="4"/>
  <c r="L22" i="3" l="1"/>
  <c r="N22" i="3" s="1"/>
  <c r="K23" i="3"/>
  <c r="L36" i="4"/>
  <c r="L49" i="4"/>
  <c r="L44" i="4"/>
  <c r="L39" i="4"/>
  <c r="L40" i="4"/>
  <c r="L45" i="4"/>
  <c r="L43" i="4"/>
  <c r="L38" i="4"/>
  <c r="L41" i="4"/>
  <c r="L42" i="4"/>
  <c r="L35" i="4"/>
  <c r="F10" i="3"/>
  <c r="F11" i="3" s="1"/>
  <c r="F12" i="3" s="1"/>
  <c r="F13" i="3" s="1"/>
  <c r="I13" i="3" s="1"/>
  <c r="L23" i="3" l="1"/>
  <c r="N23" i="3" s="1"/>
  <c r="K24" i="3"/>
  <c r="L57" i="4"/>
  <c r="L47" i="4"/>
  <c r="L52" i="4"/>
  <c r="L54" i="4"/>
  <c r="L51" i="4"/>
  <c r="L53" i="4"/>
  <c r="L56" i="4"/>
  <c r="L50" i="4"/>
  <c r="L55" i="4"/>
  <c r="L48" i="4"/>
  <c r="I11" i="3"/>
  <c r="I10" i="3"/>
  <c r="I9" i="3"/>
  <c r="I8" i="3"/>
  <c r="L24" i="3" l="1"/>
  <c r="N24" i="3" s="1"/>
  <c r="K25" i="3"/>
  <c r="I12" i="3"/>
  <c r="C10" i="3"/>
  <c r="C11" i="3" s="1"/>
  <c r="C12" i="3" s="1"/>
  <c r="C13" i="3" s="1"/>
  <c r="C14" i="3" s="1"/>
  <c r="C15" i="3" s="1"/>
  <c r="C16" i="3" s="1"/>
  <c r="C17" i="3" s="1"/>
  <c r="C18" i="3" s="1"/>
  <c r="C19" i="3" s="1"/>
  <c r="L25" i="3" l="1"/>
  <c r="N25" i="3" s="1"/>
  <c r="K26" i="3"/>
  <c r="L26" i="3" s="1"/>
  <c r="N26" i="3" s="1"/>
  <c r="L22" i="4"/>
  <c r="L34" i="4" l="1"/>
  <c r="L19" i="3"/>
  <c r="N21" i="4"/>
  <c r="N20" i="4"/>
  <c r="N19" i="4"/>
  <c r="N18" i="4"/>
  <c r="N17" i="4"/>
  <c r="N16" i="4"/>
  <c r="N15" i="4"/>
  <c r="N14" i="4"/>
  <c r="N13" i="4"/>
  <c r="N12" i="4"/>
  <c r="N11" i="4"/>
  <c r="L18" i="3"/>
  <c r="L17" i="3"/>
  <c r="L16" i="3"/>
  <c r="L14" i="3"/>
  <c r="L13" i="3"/>
  <c r="L46" i="4" l="1"/>
  <c r="N26" i="4"/>
  <c r="N33" i="4"/>
  <c r="N22" i="4"/>
  <c r="N27" i="4"/>
  <c r="N31" i="4"/>
  <c r="N32" i="4"/>
  <c r="N28" i="4"/>
  <c r="N23" i="4"/>
  <c r="N30" i="4"/>
  <c r="N25" i="4"/>
  <c r="N29" i="4"/>
  <c r="N24" i="4"/>
  <c r="N40" i="4" l="1"/>
  <c r="N43" i="4"/>
  <c r="N42" i="4"/>
  <c r="N34" i="4"/>
  <c r="N38" i="4"/>
  <c r="N39" i="4"/>
  <c r="N36" i="4"/>
  <c r="N35" i="4"/>
  <c r="N41" i="4"/>
  <c r="N44" i="4"/>
  <c r="N37" i="4" l="1"/>
  <c r="N49" i="4" s="1"/>
  <c r="N45" i="4"/>
  <c r="N57" i="4" s="1"/>
  <c r="N55" i="4"/>
  <c r="N52" i="4"/>
  <c r="N50" i="4"/>
  <c r="N46" i="4"/>
  <c r="N53" i="4"/>
  <c r="N56" i="4"/>
  <c r="N51" i="4"/>
  <c r="N47" i="4"/>
  <c r="N48" i="4"/>
  <c r="N54" i="4"/>
  <c r="A74" i="1"/>
  <c r="A75" i="1"/>
  <c r="A76" i="1"/>
  <c r="A77" i="1"/>
  <c r="A78" i="1"/>
  <c r="A79" i="1"/>
  <c r="A80" i="1"/>
  <c r="A81" i="1"/>
  <c r="A82" i="1"/>
  <c r="A83" i="1"/>
  <c r="A84" i="1"/>
  <c r="A85" i="1"/>
  <c r="D83" i="1" l="1"/>
  <c r="A95" i="1"/>
  <c r="D82" i="1"/>
  <c r="A94" i="1"/>
  <c r="D81" i="1"/>
  <c r="A93" i="1"/>
  <c r="D80" i="1"/>
  <c r="A92" i="1"/>
  <c r="D79" i="1"/>
  <c r="A91" i="1"/>
  <c r="D76" i="1"/>
  <c r="A88" i="1"/>
  <c r="D84" i="1"/>
  <c r="A96" i="1"/>
  <c r="D78" i="1"/>
  <c r="A90" i="1"/>
  <c r="D77" i="1"/>
  <c r="A89" i="1"/>
  <c r="D75" i="1"/>
  <c r="A87" i="1"/>
  <c r="D74" i="1"/>
  <c r="A86" i="1"/>
  <c r="D85" i="1"/>
  <c r="A97" i="1"/>
  <c r="E77" i="1" l="1"/>
  <c r="E79" i="1"/>
  <c r="E78" i="1"/>
  <c r="E85" i="1"/>
  <c r="E80" i="1"/>
  <c r="E75" i="1"/>
  <c r="E81" i="1"/>
  <c r="E74" i="1"/>
  <c r="E84" i="1"/>
  <c r="E76" i="1"/>
  <c r="E82" i="1"/>
  <c r="E83" i="1"/>
  <c r="A109" i="1"/>
  <c r="B97" i="1" a="1"/>
  <c r="B97" i="1" s="1"/>
  <c r="D97" i="1"/>
  <c r="A101" i="1"/>
  <c r="B89" i="1" a="1"/>
  <c r="B89" i="1" s="1"/>
  <c r="D89" i="1"/>
  <c r="A100" i="1"/>
  <c r="B88" i="1" a="1"/>
  <c r="B88" i="1" s="1"/>
  <c r="D88" i="1" s="1"/>
  <c r="A105" i="1"/>
  <c r="B93" i="1" a="1"/>
  <c r="B93" i="1" s="1"/>
  <c r="D93" i="1"/>
  <c r="D86" i="1"/>
  <c r="A98" i="1"/>
  <c r="A103" i="1"/>
  <c r="B91" i="1" a="1"/>
  <c r="B91" i="1" s="1"/>
  <c r="D91" i="1"/>
  <c r="A106" i="1"/>
  <c r="B94" i="1" a="1"/>
  <c r="B94" i="1" s="1"/>
  <c r="D94" i="1"/>
  <c r="A102" i="1"/>
  <c r="B90" i="1" a="1"/>
  <c r="B90" i="1" s="1"/>
  <c r="D90" i="1"/>
  <c r="A99" i="1"/>
  <c r="B87" i="1" a="1"/>
  <c r="B87" i="1" s="1"/>
  <c r="D87" i="1" s="1"/>
  <c r="A108" i="1"/>
  <c r="B96" i="1" a="1"/>
  <c r="B96" i="1" s="1"/>
  <c r="D96" i="1"/>
  <c r="A107" i="1"/>
  <c r="B95" i="1" a="1"/>
  <c r="B95" i="1" s="1"/>
  <c r="D95" i="1"/>
  <c r="A104" i="1"/>
  <c r="B92" i="1" a="1"/>
  <c r="B92" i="1" s="1"/>
  <c r="D92" i="1"/>
  <c r="E90" i="1" l="1"/>
  <c r="E92" i="1"/>
  <c r="E87" i="1"/>
  <c r="E86" i="1"/>
  <c r="E88" i="1"/>
  <c r="E94" i="1"/>
  <c r="E89" i="1"/>
  <c r="E97" i="1"/>
  <c r="E93" i="1"/>
  <c r="E96" i="1"/>
  <c r="E95" i="1"/>
  <c r="E91" i="1"/>
  <c r="A113" i="1"/>
  <c r="B101" i="1" a="1"/>
  <c r="B101" i="1" s="1"/>
  <c r="D101" i="1"/>
  <c r="E101" i="1" s="1"/>
  <c r="A118" i="1"/>
  <c r="B106" i="1" a="1"/>
  <c r="B106" i="1" s="1"/>
  <c r="D106" i="1"/>
  <c r="E106" i="1" s="1"/>
  <c r="A121" i="1"/>
  <c r="B109" i="1" a="1"/>
  <c r="B109" i="1" s="1"/>
  <c r="D109" i="1"/>
  <c r="E109" i="1" s="1"/>
  <c r="A115" i="1"/>
  <c r="B103" i="1" a="1"/>
  <c r="B103" i="1" s="1"/>
  <c r="D103" i="1"/>
  <c r="E103" i="1" s="1"/>
  <c r="A119" i="1"/>
  <c r="B107" i="1" a="1"/>
  <c r="B107" i="1" s="1"/>
  <c r="D107" i="1"/>
  <c r="E107" i="1" s="1"/>
  <c r="A110" i="1"/>
  <c r="B98" i="1" a="1"/>
  <c r="B98" i="1" s="1"/>
  <c r="D98" i="1"/>
  <c r="A117" i="1"/>
  <c r="B105" i="1" a="1"/>
  <c r="B105" i="1" s="1"/>
  <c r="D105" i="1"/>
  <c r="E105" i="1" s="1"/>
  <c r="A120" i="1"/>
  <c r="B108" i="1" a="1"/>
  <c r="B108" i="1" s="1"/>
  <c r="D108" i="1"/>
  <c r="E108" i="1" s="1"/>
  <c r="A116" i="1"/>
  <c r="B104" i="1" a="1"/>
  <c r="B104" i="1" s="1"/>
  <c r="D104" i="1"/>
  <c r="E104" i="1" s="1"/>
  <c r="A112" i="1"/>
  <c r="B100" i="1" a="1"/>
  <c r="B100" i="1" s="1"/>
  <c r="D100" i="1"/>
  <c r="E100" i="1" s="1"/>
  <c r="A114" i="1"/>
  <c r="B102" i="1" a="1"/>
  <c r="B102" i="1" s="1"/>
  <c r="D102" i="1"/>
  <c r="E102" i="1" s="1"/>
  <c r="A111" i="1"/>
  <c r="B99" i="1" a="1"/>
  <c r="B99" i="1" s="1"/>
  <c r="D99" i="1"/>
  <c r="E99" i="1" s="1"/>
  <c r="G9" i="3"/>
  <c r="G10" i="3" s="1"/>
  <c r="E98" i="1" l="1"/>
  <c r="A132" i="1"/>
  <c r="B120" i="1" a="1"/>
  <c r="B120" i="1" s="1"/>
  <c r="D120" i="1"/>
  <c r="E120" i="1" s="1"/>
  <c r="A127" i="1"/>
  <c r="B115" i="1" a="1"/>
  <c r="B115" i="1" s="1"/>
  <c r="D115" i="1"/>
  <c r="E115" i="1" s="1"/>
  <c r="A123" i="1"/>
  <c r="B111" i="1" a="1"/>
  <c r="B111" i="1" s="1"/>
  <c r="D111" i="1"/>
  <c r="E111" i="1" s="1"/>
  <c r="A126" i="1"/>
  <c r="B114" i="1" a="1"/>
  <c r="B114" i="1" s="1"/>
  <c r="D114" i="1"/>
  <c r="E114" i="1" s="1"/>
  <c r="A129" i="1"/>
  <c r="B117" i="1" a="1"/>
  <c r="B117" i="1" s="1"/>
  <c r="D117" i="1"/>
  <c r="E117" i="1" s="1"/>
  <c r="A133" i="1"/>
  <c r="B121" i="1" a="1"/>
  <c r="B121" i="1" s="1"/>
  <c r="D121" i="1"/>
  <c r="E121" i="1" s="1"/>
  <c r="A124" i="1"/>
  <c r="B112" i="1" a="1"/>
  <c r="B112" i="1" s="1"/>
  <c r="D112" i="1"/>
  <c r="E112" i="1" s="1"/>
  <c r="A122" i="1"/>
  <c r="B110" i="1" a="1"/>
  <c r="B110" i="1" s="1"/>
  <c r="D110" i="1"/>
  <c r="A130" i="1"/>
  <c r="B118" i="1" a="1"/>
  <c r="B118" i="1" s="1"/>
  <c r="D118" i="1"/>
  <c r="E118" i="1" s="1"/>
  <c r="A128" i="1"/>
  <c r="B116" i="1" a="1"/>
  <c r="B116" i="1" s="1"/>
  <c r="D116" i="1"/>
  <c r="E116" i="1" s="1"/>
  <c r="A131" i="1"/>
  <c r="B119" i="1" a="1"/>
  <c r="B119" i="1" s="1"/>
  <c r="D119" i="1"/>
  <c r="E119" i="1" s="1"/>
  <c r="A125" i="1"/>
  <c r="B113" i="1" a="1"/>
  <c r="B113" i="1" s="1"/>
  <c r="D113" i="1"/>
  <c r="E113" i="1" s="1"/>
  <c r="A73" i="1"/>
  <c r="A72" i="1"/>
  <c r="A71" i="1"/>
  <c r="A70" i="1"/>
  <c r="A69" i="1"/>
  <c r="A68" i="1"/>
  <c r="A67" i="1"/>
  <c r="A66" i="1"/>
  <c r="A65" i="1"/>
  <c r="A64" i="1"/>
  <c r="A63" i="1"/>
  <c r="A62" i="1"/>
  <c r="E110" i="1" l="1"/>
  <c r="D63" i="1"/>
  <c r="E63" i="1" s="1"/>
  <c r="B122" i="1" a="1"/>
  <c r="B122" i="1" s="1"/>
  <c r="D122" i="1"/>
  <c r="B126" i="1" a="1"/>
  <c r="B126" i="1" s="1"/>
  <c r="D126" i="1"/>
  <c r="E126" i="1" s="1"/>
  <c r="D65" i="1"/>
  <c r="E65" i="1" s="1"/>
  <c r="D66" i="1"/>
  <c r="E66" i="1" s="1"/>
  <c r="D67" i="1"/>
  <c r="E67" i="1" s="1"/>
  <c r="D68" i="1"/>
  <c r="E68" i="1" s="1"/>
  <c r="B131" i="1" a="1"/>
  <c r="B131" i="1" s="1"/>
  <c r="D131" i="1"/>
  <c r="E131" i="1" s="1"/>
  <c r="B124" i="1" a="1"/>
  <c r="B124" i="1" s="1"/>
  <c r="D124" i="1"/>
  <c r="E124" i="1" s="1"/>
  <c r="B123" i="1" a="1"/>
  <c r="B123" i="1" s="1"/>
  <c r="D123" i="1"/>
  <c r="E123" i="1" s="1"/>
  <c r="B125" i="1" a="1"/>
  <c r="B125" i="1" s="1"/>
  <c r="D125" i="1"/>
  <c r="E125" i="1" s="1"/>
  <c r="D70" i="1"/>
  <c r="E70" i="1" s="1"/>
  <c r="D71" i="1"/>
  <c r="E71" i="1" s="1"/>
  <c r="B128" i="1" a="1"/>
  <c r="B128" i="1" s="1"/>
  <c r="D128" i="1"/>
  <c r="E128" i="1" s="1"/>
  <c r="B133" i="1" a="1"/>
  <c r="B133" i="1" s="1"/>
  <c r="D133" i="1"/>
  <c r="E133" i="1" s="1"/>
  <c r="B127" i="1" a="1"/>
  <c r="B127" i="1" s="1"/>
  <c r="D127" i="1"/>
  <c r="E127" i="1" s="1"/>
  <c r="D64" i="1"/>
  <c r="E64" i="1" s="1"/>
  <c r="D72" i="1"/>
  <c r="E72" i="1" s="1"/>
  <c r="D69" i="1"/>
  <c r="E69" i="1" s="1"/>
  <c r="D73" i="1"/>
  <c r="E73" i="1" s="1"/>
  <c r="D62" i="1"/>
  <c r="E62" i="1" s="1"/>
  <c r="B130" i="1" a="1"/>
  <c r="B130" i="1" s="1"/>
  <c r="D130" i="1"/>
  <c r="E130" i="1" s="1"/>
  <c r="B129" i="1" a="1"/>
  <c r="B129" i="1" s="1"/>
  <c r="D129" i="1"/>
  <c r="E129" i="1" s="1"/>
  <c r="B132" i="1" a="1"/>
  <c r="B132" i="1" s="1"/>
  <c r="D132" i="1"/>
  <c r="E132" i="1" s="1"/>
  <c r="L11" i="3"/>
  <c r="A9" i="3"/>
  <c r="E122" i="1" l="1"/>
  <c r="N12" i="3"/>
  <c r="A10" i="3"/>
  <c r="N11" i="3"/>
  <c r="A11" i="3" l="1"/>
  <c r="N13" i="3"/>
  <c r="N14" i="3" l="1"/>
  <c r="A12" i="3"/>
  <c r="N8" i="3"/>
  <c r="L9" i="3"/>
  <c r="N9" i="3" s="1"/>
  <c r="L10" i="3"/>
  <c r="N10" i="3" s="1"/>
  <c r="A13" i="3" l="1"/>
  <c r="N15" i="3"/>
  <c r="H8" i="3"/>
  <c r="N16" i="3" l="1"/>
  <c r="A14" i="3"/>
  <c r="N17" i="3" l="1"/>
  <c r="A15" i="3"/>
  <c r="A61" i="1"/>
  <c r="G61" i="1" s="1"/>
  <c r="A60" i="1"/>
  <c r="G60" i="1" s="1"/>
  <c r="A59" i="1"/>
  <c r="G59" i="1" s="1"/>
  <c r="A58" i="1"/>
  <c r="G58" i="1" s="1"/>
  <c r="A57" i="1"/>
  <c r="G57" i="1" s="1"/>
  <c r="A56" i="1"/>
  <c r="G56" i="1" s="1"/>
  <c r="A55" i="1"/>
  <c r="G55" i="1" s="1"/>
  <c r="A54" i="1"/>
  <c r="G54" i="1" s="1"/>
  <c r="A53" i="1"/>
  <c r="G53" i="1" s="1"/>
  <c r="A52" i="1"/>
  <c r="G52" i="1" s="1"/>
  <c r="A51" i="1"/>
  <c r="G51" i="1" s="1"/>
  <c r="A50" i="1"/>
  <c r="G50" i="1" s="1"/>
  <c r="A49" i="1"/>
  <c r="G49" i="1" s="1"/>
  <c r="A48" i="1"/>
  <c r="G48" i="1" s="1"/>
  <c r="A47" i="1"/>
  <c r="G47" i="1" s="1"/>
  <c r="A46" i="1"/>
  <c r="G46" i="1" s="1"/>
  <c r="A45" i="1"/>
  <c r="G45" i="1" s="1"/>
  <c r="A44" i="1"/>
  <c r="G44" i="1" s="1"/>
  <c r="A43" i="1"/>
  <c r="G43" i="1" s="1"/>
  <c r="A42" i="1"/>
  <c r="G42" i="1" s="1"/>
  <c r="A41" i="1"/>
  <c r="G41" i="1" s="1"/>
  <c r="A40" i="1"/>
  <c r="G40" i="1" s="1"/>
  <c r="A39" i="1"/>
  <c r="G39" i="1" s="1"/>
  <c r="A38" i="1"/>
  <c r="G38" i="1" s="1"/>
  <c r="A37" i="1"/>
  <c r="G37" i="1" s="1"/>
  <c r="A36" i="1"/>
  <c r="G36" i="1" s="1"/>
  <c r="A35" i="1"/>
  <c r="G35" i="1" s="1"/>
  <c r="A34" i="1"/>
  <c r="G34" i="1" s="1"/>
  <c r="A33" i="1"/>
  <c r="G33" i="1" s="1"/>
  <c r="A32" i="1"/>
  <c r="G32" i="1" s="1"/>
  <c r="A31" i="1"/>
  <c r="G31" i="1" s="1"/>
  <c r="A30" i="1"/>
  <c r="G30" i="1" s="1"/>
  <c r="A29" i="1"/>
  <c r="G29" i="1" s="1"/>
  <c r="A28" i="1"/>
  <c r="G28" i="1" s="1"/>
  <c r="A27" i="1"/>
  <c r="G27" i="1" s="1"/>
  <c r="A26" i="1"/>
  <c r="G26" i="1" s="1"/>
  <c r="A25" i="1"/>
  <c r="G25" i="1" s="1"/>
  <c r="A24" i="1"/>
  <c r="G24" i="1" s="1"/>
  <c r="A23" i="1"/>
  <c r="A22" i="1"/>
  <c r="G22" i="1" s="1"/>
  <c r="A21" i="1"/>
  <c r="G21" i="1" s="1"/>
  <c r="A20" i="1"/>
  <c r="G20" i="1" s="1"/>
  <c r="A19" i="1"/>
  <c r="G19" i="1" s="1"/>
  <c r="A18" i="1"/>
  <c r="G18" i="1" s="1"/>
  <c r="A17" i="1"/>
  <c r="G17" i="1" s="1"/>
  <c r="A16" i="1"/>
  <c r="G16" i="1" s="1"/>
  <c r="A15" i="1"/>
  <c r="G15" i="1" s="1"/>
  <c r="A14" i="1"/>
  <c r="D21" i="2" l="1" a="1"/>
  <c r="D21" i="2" s="1"/>
  <c r="E21" i="2" a="1"/>
  <c r="E21" i="2" s="1"/>
  <c r="G21" i="2" a="1"/>
  <c r="G21" i="2" s="1"/>
  <c r="L21" i="2" a="1"/>
  <c r="L21" i="2" s="1"/>
  <c r="B21" i="2" a="1"/>
  <c r="B21" i="2" s="1"/>
  <c r="H21" i="2" a="1"/>
  <c r="H21" i="2" s="1"/>
  <c r="K21" i="2" a="1"/>
  <c r="K21" i="2" s="1"/>
  <c r="A21" i="2" a="1"/>
  <c r="A21" i="2" s="1"/>
  <c r="I21" i="2" a="1"/>
  <c r="I21" i="2" s="1"/>
  <c r="F21" i="2" a="1"/>
  <c r="F21" i="2" s="1"/>
  <c r="C21" i="2" a="1"/>
  <c r="C21" i="2" s="1"/>
  <c r="J21" i="2" a="1"/>
  <c r="J21" i="2" s="1"/>
  <c r="A23" i="2" a="1"/>
  <c r="A23" i="2" s="1"/>
  <c r="A25" i="2" a="1"/>
  <c r="A25" i="2" s="1"/>
  <c r="A27" i="2" a="1"/>
  <c r="A27" i="2" s="1"/>
  <c r="G23" i="1"/>
  <c r="H23" i="1" s="1"/>
  <c r="D23" i="1"/>
  <c r="G14" i="1"/>
  <c r="H14" i="1" s="1"/>
  <c r="D19" i="2" a="1"/>
  <c r="D19" i="2" s="1"/>
  <c r="G19" i="2" a="1"/>
  <c r="G19" i="2" s="1"/>
  <c r="K19" i="2" a="1"/>
  <c r="K19" i="2" s="1"/>
  <c r="B19" i="2" a="1"/>
  <c r="B19" i="2" s="1"/>
  <c r="F19" i="2" a="1"/>
  <c r="F19" i="2" s="1"/>
  <c r="C19" i="2" a="1"/>
  <c r="C19" i="2" s="1"/>
  <c r="E19" i="2" a="1"/>
  <c r="E19" i="2" s="1"/>
  <c r="H19" i="2" a="1"/>
  <c r="H19" i="2" s="1"/>
  <c r="I19" i="2" a="1"/>
  <c r="I19" i="2" s="1"/>
  <c r="L19" i="2" a="1"/>
  <c r="L19" i="2" s="1"/>
  <c r="A19" i="2" a="1"/>
  <c r="A19" i="2" s="1"/>
  <c r="J19" i="2" a="1"/>
  <c r="J19" i="2" s="1"/>
  <c r="D17" i="2" a="1"/>
  <c r="D17" i="2" s="1"/>
  <c r="G17" i="2" a="1"/>
  <c r="G17" i="2" s="1"/>
  <c r="L17" i="2" a="1"/>
  <c r="L17" i="2" s="1"/>
  <c r="A17" i="2" a="1"/>
  <c r="A17" i="2" s="1"/>
  <c r="J17" i="2" a="1"/>
  <c r="J17" i="2" s="1"/>
  <c r="B17" i="2" a="1"/>
  <c r="B17" i="2" s="1"/>
  <c r="C17" i="2" a="1"/>
  <c r="C17" i="2" s="1"/>
  <c r="F17" i="2" a="1"/>
  <c r="F17" i="2" s="1"/>
  <c r="K17" i="2" a="1"/>
  <c r="K17" i="2" s="1"/>
  <c r="E17" i="2" a="1"/>
  <c r="E17" i="2" s="1"/>
  <c r="H17" i="2" a="1"/>
  <c r="H17" i="2" s="1"/>
  <c r="I17" i="2" a="1"/>
  <c r="I17" i="2" s="1"/>
  <c r="N41" i="1"/>
  <c r="D41" i="1"/>
  <c r="N52" i="1"/>
  <c r="D52" i="1"/>
  <c r="C15" i="2" s="1" a="1"/>
  <c r="C15" i="2" s="1"/>
  <c r="N17" i="1"/>
  <c r="D17" i="1"/>
  <c r="N18" i="1"/>
  <c r="D18" i="1"/>
  <c r="N31" i="1"/>
  <c r="D31" i="1"/>
  <c r="N32" i="1"/>
  <c r="D32" i="1"/>
  <c r="N33" i="1"/>
  <c r="D33" i="1"/>
  <c r="N22" i="1"/>
  <c r="D22" i="1"/>
  <c r="N59" i="1"/>
  <c r="D59" i="1"/>
  <c r="J15" i="2" s="1" a="1"/>
  <c r="J15" i="2" s="1"/>
  <c r="N28" i="1"/>
  <c r="D28" i="1"/>
  <c r="N55" i="1"/>
  <c r="D55" i="1"/>
  <c r="N24" i="1"/>
  <c r="D24" i="1"/>
  <c r="N16" i="1"/>
  <c r="D16" i="1"/>
  <c r="N53" i="1"/>
  <c r="D53" i="1"/>
  <c r="D15" i="2" s="1" a="1"/>
  <c r="D15" i="2" s="1"/>
  <c r="N42" i="1"/>
  <c r="D42" i="1"/>
  <c r="N43" i="1"/>
  <c r="D43" i="1"/>
  <c r="N56" i="1"/>
  <c r="D56" i="1"/>
  <c r="G15" i="2" s="1" a="1"/>
  <c r="G15" i="2" s="1"/>
  <c r="N57" i="1"/>
  <c r="D57" i="1"/>
  <c r="N34" i="1"/>
  <c r="D34" i="1"/>
  <c r="N58" i="1"/>
  <c r="D58" i="1"/>
  <c r="I15" i="2" s="1" a="1"/>
  <c r="I15" i="2" s="1"/>
  <c r="N23" i="1"/>
  <c r="N35" i="1"/>
  <c r="D35" i="1"/>
  <c r="N47" i="1"/>
  <c r="D47" i="1"/>
  <c r="N36" i="1"/>
  <c r="D36" i="1"/>
  <c r="N48" i="1"/>
  <c r="D48" i="1"/>
  <c r="N25" i="1"/>
  <c r="D25" i="1"/>
  <c r="N37" i="1"/>
  <c r="D37" i="1"/>
  <c r="N49" i="1"/>
  <c r="D49" i="1"/>
  <c r="N61" i="1"/>
  <c r="D61" i="1"/>
  <c r="L15" i="2" s="1" a="1"/>
  <c r="L15" i="2" s="1"/>
  <c r="N40" i="1"/>
  <c r="D40" i="1"/>
  <c r="N29" i="1"/>
  <c r="D29" i="1"/>
  <c r="N30" i="1"/>
  <c r="D30" i="1"/>
  <c r="N19" i="1"/>
  <c r="D19" i="1"/>
  <c r="N20" i="1"/>
  <c r="D20" i="1"/>
  <c r="E20" i="1" s="1"/>
  <c r="N45" i="1"/>
  <c r="D45" i="1"/>
  <c r="N46" i="1"/>
  <c r="D46" i="1"/>
  <c r="N60" i="1"/>
  <c r="D60" i="1"/>
  <c r="N14" i="1"/>
  <c r="I14" i="1" s="1"/>
  <c r="D14" i="1"/>
  <c r="N26" i="1"/>
  <c r="I26" i="1" s="1"/>
  <c r="D26" i="1"/>
  <c r="N38" i="1"/>
  <c r="I38" i="1" s="1"/>
  <c r="D38" i="1"/>
  <c r="N50" i="1"/>
  <c r="D50" i="1"/>
  <c r="A15" i="2" s="1" a="1"/>
  <c r="A15" i="2" s="1"/>
  <c r="N54" i="1"/>
  <c r="D54" i="1"/>
  <c r="N44" i="1"/>
  <c r="D44" i="1"/>
  <c r="N21" i="1"/>
  <c r="D21" i="1"/>
  <c r="N15" i="1"/>
  <c r="I15" i="1" s="1"/>
  <c r="N27" i="1"/>
  <c r="D27" i="1"/>
  <c r="N39" i="1"/>
  <c r="D39" i="1"/>
  <c r="N51" i="1"/>
  <c r="D51" i="1"/>
  <c r="B15" i="2" s="1" a="1"/>
  <c r="B15" i="2" s="1"/>
  <c r="H52" i="1"/>
  <c r="H19" i="1"/>
  <c r="H16" i="1"/>
  <c r="H53" i="1"/>
  <c r="H18" i="1"/>
  <c r="H43" i="1"/>
  <c r="H22" i="1"/>
  <c r="H40" i="1"/>
  <c r="H29" i="1"/>
  <c r="H30" i="1"/>
  <c r="H20" i="1"/>
  <c r="H56" i="1"/>
  <c r="H33" i="1"/>
  <c r="H34" i="1"/>
  <c r="H37" i="1"/>
  <c r="H28" i="1"/>
  <c r="H17" i="1"/>
  <c r="H41" i="1"/>
  <c r="H54" i="1"/>
  <c r="H55" i="1"/>
  <c r="H32" i="1"/>
  <c r="H21" i="1"/>
  <c r="H45" i="1"/>
  <c r="H58" i="1"/>
  <c r="H35" i="1"/>
  <c r="H24" i="1"/>
  <c r="H42" i="1"/>
  <c r="H31" i="1"/>
  <c r="H44" i="1"/>
  <c r="H57" i="1"/>
  <c r="H46" i="1"/>
  <c r="H47" i="1"/>
  <c r="H59" i="1"/>
  <c r="H36" i="1"/>
  <c r="H48" i="1"/>
  <c r="H60" i="1"/>
  <c r="H25" i="1"/>
  <c r="H49" i="1"/>
  <c r="H61" i="1"/>
  <c r="H26" i="1"/>
  <c r="H38" i="1"/>
  <c r="H50" i="1"/>
  <c r="H15" i="1"/>
  <c r="H27" i="1"/>
  <c r="H39" i="1"/>
  <c r="H51" i="1"/>
  <c r="A16" i="3"/>
  <c r="N19" i="3"/>
  <c r="N18" i="3"/>
  <c r="K13" i="2" l="1" a="1"/>
  <c r="K13" i="2" s="1"/>
  <c r="N21" i="2"/>
  <c r="N19" i="2"/>
  <c r="K15" i="2" a="1"/>
  <c r="K15" i="2" s="1"/>
  <c r="F13" i="2" a="1"/>
  <c r="F13" i="2" s="1"/>
  <c r="E13" i="2" a="1"/>
  <c r="E13" i="2" s="1"/>
  <c r="H13" i="2" a="1"/>
  <c r="H13" i="2" s="1"/>
  <c r="E15" i="2" a="1"/>
  <c r="E15" i="2" s="1"/>
  <c r="H15" i="2" a="1"/>
  <c r="H15" i="2" s="1"/>
  <c r="F15" i="2" a="1"/>
  <c r="F15" i="2" s="1"/>
  <c r="A11" i="2" a="1"/>
  <c r="A11" i="2" s="1"/>
  <c r="L11" i="2" a="1"/>
  <c r="L11" i="2" s="1"/>
  <c r="G11" i="2" a="1"/>
  <c r="G11" i="2" s="1"/>
  <c r="J11" i="2" a="1"/>
  <c r="J11" i="2" s="1"/>
  <c r="B11" i="2" a="1"/>
  <c r="B11" i="2" s="1"/>
  <c r="E11" i="2" a="1"/>
  <c r="E11" i="2" s="1"/>
  <c r="H11" i="2" a="1"/>
  <c r="H11" i="2" s="1"/>
  <c r="D11" i="2" a="1"/>
  <c r="D11" i="2" s="1"/>
  <c r="C11" i="2" a="1"/>
  <c r="C11" i="2" s="1"/>
  <c r="G13" i="2" a="1"/>
  <c r="G13" i="2" s="1"/>
  <c r="B13" i="2" a="1"/>
  <c r="B13" i="2" s="1"/>
  <c r="L13" i="2" a="1"/>
  <c r="L13" i="2" s="1"/>
  <c r="A13" i="2" a="1"/>
  <c r="A13" i="2" s="1"/>
  <c r="I11" i="2" a="1"/>
  <c r="I11" i="2" s="1"/>
  <c r="J13" i="2" a="1"/>
  <c r="J13" i="2" s="1"/>
  <c r="F11" i="2" a="1"/>
  <c r="F11" i="2" s="1"/>
  <c r="I13" i="2" a="1"/>
  <c r="I13" i="2" s="1"/>
  <c r="D13" i="2" a="1"/>
  <c r="D13" i="2" s="1"/>
  <c r="C13" i="2" a="1"/>
  <c r="C13" i="2" s="1"/>
  <c r="N17" i="2"/>
  <c r="I9" i="2" a="1"/>
  <c r="I9" i="2" s="1"/>
  <c r="C9" i="2" a="1"/>
  <c r="C9" i="2" s="1"/>
  <c r="K11" i="2" a="1"/>
  <c r="K11" i="2" s="1"/>
  <c r="L9" i="2" a="1"/>
  <c r="L9" i="2" s="1"/>
  <c r="D9" i="2" a="1"/>
  <c r="D9" i="2" s="1"/>
  <c r="K9" i="2" a="1"/>
  <c r="K9" i="2" s="1"/>
  <c r="J9" i="2" a="1"/>
  <c r="J9" i="2" s="1"/>
  <c r="F9" i="2" a="1"/>
  <c r="F9" i="2" s="1"/>
  <c r="B9" i="2" a="1"/>
  <c r="B9" i="2" s="1"/>
  <c r="G9" i="2" a="1"/>
  <c r="G9" i="2" s="1"/>
  <c r="A9" i="2" a="1"/>
  <c r="A9" i="2" s="1"/>
  <c r="E9" i="2" a="1"/>
  <c r="E9" i="2" s="1"/>
  <c r="H9" i="2" a="1"/>
  <c r="H9" i="2" s="1"/>
  <c r="E51" i="1"/>
  <c r="E54" i="1"/>
  <c r="E46" i="1"/>
  <c r="E40" i="1"/>
  <c r="E36" i="1"/>
  <c r="E57" i="1"/>
  <c r="E24" i="1"/>
  <c r="E32" i="1"/>
  <c r="E39" i="1"/>
  <c r="E50" i="1"/>
  <c r="E45" i="1"/>
  <c r="E61" i="1"/>
  <c r="E47" i="1"/>
  <c r="E56" i="1"/>
  <c r="E55" i="1"/>
  <c r="E31" i="1"/>
  <c r="E27" i="1"/>
  <c r="E38" i="1"/>
  <c r="E49" i="1"/>
  <c r="E35" i="1"/>
  <c r="E43" i="1"/>
  <c r="E28" i="1"/>
  <c r="E15" i="1"/>
  <c r="E26" i="1"/>
  <c r="E19" i="1"/>
  <c r="E37" i="1"/>
  <c r="E23" i="1"/>
  <c r="E42" i="1"/>
  <c r="E59" i="1"/>
  <c r="E21" i="1"/>
  <c r="E14" i="1"/>
  <c r="E30" i="1"/>
  <c r="E25" i="1"/>
  <c r="E58" i="1"/>
  <c r="E53" i="1"/>
  <c r="E22" i="1"/>
  <c r="E52" i="1"/>
  <c r="E44" i="1"/>
  <c r="E60" i="1"/>
  <c r="E29" i="1"/>
  <c r="E48" i="1"/>
  <c r="E34" i="1"/>
  <c r="E16" i="1"/>
  <c r="E33" i="1"/>
  <c r="E41" i="1"/>
  <c r="E18" i="1"/>
  <c r="E17" i="1"/>
  <c r="A17" i="3"/>
  <c r="N15" i="2" l="1"/>
  <c r="N13" i="2"/>
  <c r="N11" i="2"/>
  <c r="N9" i="2"/>
  <c r="A18" i="3"/>
  <c r="I21" i="1" l="1"/>
  <c r="I25" i="1"/>
  <c r="I16" i="1"/>
  <c r="I23" i="1"/>
  <c r="I20" i="1"/>
  <c r="I22" i="1"/>
  <c r="I18" i="1"/>
  <c r="I17" i="1"/>
  <c r="I24" i="1"/>
  <c r="I19" i="1"/>
  <c r="A19" i="3"/>
  <c r="K15" i="1"/>
  <c r="K14" i="1"/>
  <c r="K24" i="1" l="1"/>
  <c r="L24" i="1" s="1"/>
  <c r="M24" i="1" s="1"/>
  <c r="K20" i="1"/>
  <c r="L20" i="1" s="1"/>
  <c r="M20" i="1" s="1"/>
  <c r="K19" i="1"/>
  <c r="L19" i="1" s="1"/>
  <c r="M19" i="1" s="1"/>
  <c r="K23" i="1"/>
  <c r="L23" i="1" s="1"/>
  <c r="M23" i="1" s="1"/>
  <c r="K22" i="1"/>
  <c r="L22" i="1" s="1"/>
  <c r="M22" i="1" s="1"/>
  <c r="K16" i="1"/>
  <c r="L16" i="1" s="1"/>
  <c r="M16" i="1" s="1"/>
  <c r="K17" i="1"/>
  <c r="L17" i="1" s="1"/>
  <c r="M17" i="1" s="1"/>
  <c r="K25" i="1"/>
  <c r="L25" i="1" s="1"/>
  <c r="M25" i="1" s="1"/>
  <c r="K18" i="1"/>
  <c r="L18" i="1" s="1"/>
  <c r="M18" i="1" s="1"/>
  <c r="K21" i="1"/>
  <c r="L21" i="1" s="1"/>
  <c r="M21" i="1" s="1"/>
  <c r="L14" i="1"/>
  <c r="M14" i="1" s="1"/>
  <c r="L15" i="1"/>
  <c r="M15" i="1" s="1"/>
  <c r="I28" i="1"/>
  <c r="I32" i="1"/>
  <c r="I30" i="1"/>
  <c r="I34" i="1"/>
  <c r="I37" i="1"/>
  <c r="I27" i="1"/>
  <c r="I29" i="1"/>
  <c r="I35" i="1"/>
  <c r="I36" i="1"/>
  <c r="I33" i="1"/>
  <c r="I31" i="1"/>
  <c r="K28" i="1" l="1"/>
  <c r="L28" i="1" s="1"/>
  <c r="M28" i="1" s="1"/>
  <c r="K30" i="1"/>
  <c r="L30" i="1" s="1"/>
  <c r="M30" i="1" s="1"/>
  <c r="K36" i="1"/>
  <c r="L36" i="1" s="1"/>
  <c r="M36" i="1" s="1"/>
  <c r="K35" i="1"/>
  <c r="L35" i="1" s="1"/>
  <c r="M35" i="1" s="1"/>
  <c r="K32" i="1"/>
  <c r="L32" i="1" s="1"/>
  <c r="M32" i="1" s="1"/>
  <c r="K29" i="1"/>
  <c r="L29" i="1" s="1"/>
  <c r="M29" i="1" s="1"/>
  <c r="K33" i="1"/>
  <c r="L33" i="1" s="1"/>
  <c r="M33" i="1" s="1"/>
  <c r="K27" i="1"/>
  <c r="L27" i="1" s="1"/>
  <c r="M27" i="1" s="1"/>
  <c r="K26" i="1"/>
  <c r="L26" i="1" s="1"/>
  <c r="M26" i="1" s="1"/>
  <c r="K37" i="1"/>
  <c r="L37" i="1" s="1"/>
  <c r="M37" i="1" s="1"/>
  <c r="K31" i="1"/>
  <c r="L31" i="1" s="1"/>
  <c r="M31" i="1" s="1"/>
  <c r="K34" i="1"/>
  <c r="L34" i="1" s="1"/>
  <c r="M34" i="1" s="1"/>
  <c r="I49" i="1"/>
  <c r="I46" i="1"/>
  <c r="I47" i="1"/>
  <c r="I48" i="1"/>
  <c r="I43" i="1"/>
  <c r="I44" i="1"/>
  <c r="I42" i="1"/>
  <c r="I39" i="1"/>
  <c r="I40" i="1"/>
  <c r="I45" i="1"/>
  <c r="I41" i="1"/>
  <c r="K40" i="1" l="1"/>
  <c r="L40" i="1" s="1"/>
  <c r="K42" i="1"/>
  <c r="L42" i="1" s="1"/>
  <c r="K39" i="1"/>
  <c r="L39" i="1" s="1"/>
  <c r="K44" i="1"/>
  <c r="L44" i="1" s="1"/>
  <c r="K45" i="1"/>
  <c r="L45" i="1" s="1"/>
  <c r="K47" i="1"/>
  <c r="L47" i="1" s="1"/>
  <c r="K41" i="1"/>
  <c r="L41" i="1" s="1"/>
  <c r="K43" i="1"/>
  <c r="L43" i="1" s="1"/>
  <c r="K48" i="1"/>
  <c r="L48" i="1" s="1"/>
  <c r="K46" i="1"/>
  <c r="L46" i="1" s="1"/>
  <c r="K49" i="1"/>
  <c r="L49" i="1" s="1"/>
  <c r="I50" i="1"/>
  <c r="I58" i="1"/>
  <c r="I60" i="1"/>
  <c r="K60" i="1" s="1"/>
  <c r="I53" i="1"/>
  <c r="I56" i="1"/>
  <c r="I57" i="1"/>
  <c r="I52" i="1"/>
  <c r="I54" i="1"/>
  <c r="I51" i="1"/>
  <c r="I55" i="1"/>
  <c r="I61" i="1"/>
  <c r="K61" i="1" s="1"/>
  <c r="I59" i="1"/>
  <c r="K38" i="1"/>
  <c r="L31" i="2" l="1" a="1"/>
  <c r="L31" i="2" s="1"/>
  <c r="K31" i="2" a="1"/>
  <c r="K31" i="2" s="1"/>
  <c r="K55" i="1"/>
  <c r="K52" i="1"/>
  <c r="K51" i="1"/>
  <c r="K57" i="1"/>
  <c r="K56" i="1"/>
  <c r="K54" i="1"/>
  <c r="K53" i="1"/>
  <c r="K58" i="1"/>
  <c r="K59" i="1"/>
  <c r="L61" i="1"/>
  <c r="L60" i="1"/>
  <c r="L38" i="1"/>
  <c r="K50" i="1"/>
  <c r="G31" i="2" l="1" a="1"/>
  <c r="G31" i="2" s="1"/>
  <c r="H31" i="2" a="1"/>
  <c r="H31" i="2" s="1"/>
  <c r="J31" i="2" a="1"/>
  <c r="J31" i="2" s="1"/>
  <c r="B31" i="2" a="1"/>
  <c r="B31" i="2" s="1"/>
  <c r="I31" i="2" a="1"/>
  <c r="I31" i="2" s="1"/>
  <c r="C31" i="2" a="1"/>
  <c r="C31" i="2" s="1"/>
  <c r="D31" i="2" a="1"/>
  <c r="D31" i="2" s="1"/>
  <c r="F31" i="2" a="1"/>
  <c r="F31" i="2" s="1"/>
  <c r="A31" i="2" a="1"/>
  <c r="A31" i="2" s="1"/>
  <c r="E31" i="2" a="1"/>
  <c r="E31" i="2" s="1"/>
  <c r="L56" i="1"/>
  <c r="L57" i="1"/>
  <c r="L59" i="1"/>
  <c r="L51" i="1"/>
  <c r="L58" i="1"/>
  <c r="L54" i="1"/>
  <c r="L53" i="1"/>
  <c r="L55" i="1"/>
  <c r="L52" i="1"/>
  <c r="L50" i="1"/>
  <c r="N31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Brett, Reginald</author>
  </authors>
  <commentList>
    <comment ref="I12" authorId="0" shapeId="0" xr:uid="{AA22A2B5-5E0A-4162-8C47-ED72FF6000D1}">
      <text>
        <r>
          <rPr>
            <sz val="9"/>
            <color indexed="81"/>
            <rFont val="Tahoma"/>
            <family val="2"/>
          </rPr>
          <t>(Adjustment * (Gas Price - VOM)) / Heat Rate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<sst xmlns="http://schemas.openxmlformats.org/spreadsheetml/2006/main" count="120" uniqueCount="81">
  <si>
    <t>INSTRUCTIONS FOR COMPUTING COAL DISPATCH PRICES:</t>
  </si>
  <si>
    <t>On the "Prices" tab, input the market price date as mm/dd/yyyy format in cell C1 (r1, c3)</t>
  </si>
  <si>
    <t>Verify that the market prices exist by checking that the value on the "Prices" tab in cell D5 (r5, c4) is "True"</t>
  </si>
  <si>
    <t>Run the macro "GetMarketData" or click on the button to upload the prices.</t>
  </si>
  <si>
    <t>Verify that all annual inputs in the "Assumptions" tab are still current, and make changes as necessary.</t>
  </si>
  <si>
    <t>Dispatch strategy flags are located in the "Calcs" tab's columns "C" and "J".</t>
  </si>
  <si>
    <t>Formatted RTSim cards can be found on the "RTSim_Cards" tab</t>
  </si>
  <si>
    <r>
      <t>KEY ASSUMPTIONS BEHIND COAL DISPATCH PRICE CALCULATIONS (CH &amp; FC prices update March</t>
    </r>
    <r>
      <rPr>
        <b/>
        <sz val="11"/>
        <color rgb="FFFF0000"/>
        <rFont val="Arial Unicode MS"/>
      </rPr>
      <t xml:space="preserve"> 2024)</t>
    </r>
  </si>
  <si>
    <t>SOURCE:</t>
  </si>
  <si>
    <t>2026-Q1 Update</t>
  </si>
  <si>
    <t>Q3 2025 Forecast</t>
  </si>
  <si>
    <t>Escalation Rate:</t>
  </si>
  <si>
    <t>Four Corners</t>
  </si>
  <si>
    <t>Year</t>
  </si>
  <si>
    <t>Average Annual Price $/MMBtu</t>
  </si>
  <si>
    <t>REDHAWK</t>
  </si>
  <si>
    <t>CHOLLA</t>
  </si>
  <si>
    <t>FOUR CORNERS</t>
  </si>
  <si>
    <t>Heat Rate</t>
  </si>
  <si>
    <t>VOM</t>
  </si>
  <si>
    <t>Contract</t>
  </si>
  <si>
    <t>Marginal Cost</t>
  </si>
  <si>
    <t>Min. Volume</t>
  </si>
  <si>
    <t>Total</t>
  </si>
  <si>
    <t>Fuel</t>
  </si>
  <si>
    <t>Mbtu/mwh</t>
  </si>
  <si>
    <t>$/MWh</t>
  </si>
  <si>
    <t>$/mmBtu</t>
  </si>
  <si>
    <t>Multiplier</t>
  </si>
  <si>
    <t>Discounts</t>
  </si>
  <si>
    <t>$/mmBTU</t>
  </si>
  <si>
    <t>Escalation</t>
  </si>
  <si>
    <t>Market Price Date:</t>
  </si>
  <si>
    <t xml:space="preserve"> Manual date input</t>
  </si>
  <si>
    <t>Market Price Path:</t>
  </si>
  <si>
    <t>F:\RTSim\MarketPrices\</t>
  </si>
  <si>
    <t>Market Price File</t>
  </si>
  <si>
    <t>File Exists</t>
  </si>
  <si>
    <t>GAS PRICE INPUTS</t>
  </si>
  <si>
    <t>PALO VERDE PRICES</t>
  </si>
  <si>
    <t>Month</t>
  </si>
  <si>
    <t>San Juan</t>
  </si>
  <si>
    <t>Henry Hub</t>
  </si>
  <si>
    <t>Permian</t>
  </si>
  <si>
    <t>SoCal</t>
  </si>
  <si>
    <t>On-peak</t>
  </si>
  <si>
    <t>Off-peak</t>
  </si>
  <si>
    <t>ATC. Price</t>
  </si>
  <si>
    <t>HH Ratio</t>
  </si>
  <si>
    <t>SoCal Ratio</t>
  </si>
  <si>
    <t>FOUR CORNERS PRICING</t>
  </si>
  <si>
    <t>CHOLLA COAL PRICING</t>
  </si>
  <si>
    <t>0=LD adjusted price</t>
  </si>
  <si>
    <t>0=contract price less fly-ash less minimum volume discount</t>
  </si>
  <si>
    <t>1=gas based price</t>
  </si>
  <si>
    <t>1=contract price less fly-ash</t>
  </si>
  <si>
    <t>Assumpt 1</t>
  </si>
  <si>
    <t>Assumpt 2</t>
  </si>
  <si>
    <t>Coal Royalty</t>
  </si>
  <si>
    <t>Fly-Ash Cost</t>
  </si>
  <si>
    <t>HH Price Adj</t>
  </si>
  <si>
    <t>On-Peak Ratio</t>
  </si>
  <si>
    <t>LD Adjustment</t>
  </si>
  <si>
    <t>Off-Peak Ratio</t>
  </si>
  <si>
    <t>Increm. Coal</t>
  </si>
  <si>
    <t>Dispatch</t>
  </si>
  <si>
    <t>Cont. - Fly-Ash</t>
  </si>
  <si>
    <t>-Min Vol Disc</t>
  </si>
  <si>
    <t xml:space="preserve">Coal </t>
  </si>
  <si>
    <t>LD-Disc. Disp.</t>
  </si>
  <si>
    <t>Redhawk</t>
  </si>
  <si>
    <t>PV. ATC.</t>
  </si>
  <si>
    <t>Strategy</t>
  </si>
  <si>
    <t>$/MWH</t>
  </si>
  <si>
    <t>Price OTM/(ITM)</t>
  </si>
  <si>
    <t xml:space="preserve">BASE YEAR: </t>
  </si>
  <si>
    <t>Lookup Month</t>
  </si>
  <si>
    <t>#Contract 2's FC. DISPATCH PRICES (Based on LD-Discounted or Incr.Coal Prices):</t>
  </si>
  <si>
    <t>## CONTRACT 2 FC DISPATCH PRICES (Based on LD-Discounted or Incr.Coal Prices):</t>
  </si>
  <si>
    <t>## Contract 7 - Cholla INCREMENTAL COAL PRICES (Greater of LD-Discounted and Marginal Cost):</t>
  </si>
  <si>
    <t>## CONTRACT 7 - CHOLLA INCREMENTAL COAL PRICES (Purely LD-discounted through end of life):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</si>
</sst>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\-yy;@"/>
    <numFmt numFmtId="165" formatCode="&quot;$&quot;#,##0.000"/>
    <numFmt numFmtId="166" formatCode="0.0000"/>
    <numFmt numFmtId="167" formatCode="&quot;$&quot;#,##0.00"/>
    <numFmt numFmtId="168" formatCode="0.000"/>
    <numFmt numFmtId="169" formatCode="0.0%"/>
    <numFmt numFmtId="170" formatCode="#,##0.000"/>
    <numFmt numFmtId="171" formatCode="_(* #,##0.000_);_(* \(#,##0.000\);_(* &quot;-&quot;???_);_(@_)"/>
    <numFmt numFmtId="172" formatCode="_(&quot;$&quot;* #,##0.000_);_(&quot;$&quot;* \(#,##0.000\);_(&quot;$&quot;* &quot;-&quot;???_);_(@_)"/>
  </numFmts>
  <fonts count="41">
    <font>
      <sz val="11"/>
      <color theme="1"/>
      <name val="Arial Unicode MS"/>
      <family val="2"/>
    </font>
    <font>
      <sz val="9"/>
      <color indexed="81"/>
      <name val="Tahoma"/>
      <family val="2"/>
    </font>
    <font>
      <b/>
      <sz val="11"/>
      <color theme="1"/>
      <name val="Arial Unicode MS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color theme="1"/>
      <name val="Arial Unicode MS"/>
    </font>
    <font>
      <b/>
      <sz val="14"/>
      <color rgb="FFC00000"/>
      <name val="Arial Unicode MS"/>
      <family val="2"/>
    </font>
    <font>
      <b/>
      <sz val="11"/>
      <color rgb="FFFF0000"/>
      <name val="Arial Unicode MS"/>
    </font>
    <font>
      <sz val="10"/>
      <color theme="1"/>
      <name val="Arial Unicode MS"/>
      <family val="2"/>
    </font>
    <font>
      <sz val="8"/>
      <name val="Arial Unicode MS"/>
      <family val="2"/>
    </font>
    <font>
      <sz val="14"/>
      <color theme="1"/>
      <name val="Arial Unicode MS"/>
    </font>
    <font>
      <b/>
      <sz val="14"/>
      <color theme="1"/>
      <name val="Arial Unicode MS"/>
    </font>
    <font>
      <b/>
      <sz val="14"/>
      <color rgb="FFFF0000"/>
      <name val="Arial Unicode MS"/>
    </font>
    <font>
      <i/>
      <sz val="11"/>
      <color rgb="FFC00000"/>
      <name val="Arial Unicode MS"/>
    </font>
    <font>
      <sz val="10"/>
      <name val="Times New Roman"/>
      <family val="1"/>
    </font>
    <font>
      <b/>
      <u/>
      <sz val="10"/>
      <name val="Arial"/>
      <family val="2"/>
    </font>
    <font>
      <b/>
      <sz val="9"/>
      <name val="Arial"/>
      <family val="2"/>
    </font>
    <font>
      <sz val="11"/>
      <name val="Arial"/>
      <family val="2"/>
    </font>
    <font>
      <sz val="9"/>
      <name val="Times New Roman"/>
      <family val="1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0"/>
      <name val="Times New Roman"/>
      <family val="1"/>
    </font>
    <font>
      <b/>
      <sz val="12"/>
      <name val="Arial"/>
      <family val="2"/>
    </font>
    <font>
      <b/>
      <sz val="11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4">
    <xf numFmtId="0" fontId="0" fillId="0" borderId="0"/>
    <xf numFmtId="0" fontId="3" fillId="0" borderId="0"/>
    <xf numFmtId="43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7" fillId="20" borderId="1" applyNumberFormat="0" applyAlignment="0" applyProtection="0"/>
    <xf numFmtId="0" fontId="7" fillId="20" borderId="1" applyNumberFormat="0" applyAlignment="0" applyProtection="0"/>
    <xf numFmtId="0" fontId="8" fillId="21" borderId="2" applyNumberFormat="0" applyAlignment="0" applyProtection="0"/>
    <xf numFmtId="0" fontId="8" fillId="21" borderId="2" applyNumberFormat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17" fillId="22" borderId="0" applyNumberFormat="0" applyBorder="0" applyAlignment="0" applyProtection="0"/>
    <xf numFmtId="0" fontId="3" fillId="0" borderId="0"/>
    <xf numFmtId="0" fontId="9" fillId="23" borderId="7" applyNumberFormat="0" applyFont="0" applyAlignment="0" applyProtection="0"/>
    <xf numFmtId="0" fontId="9" fillId="23" borderId="7" applyNumberFormat="0" applyFont="0" applyAlignment="0" applyProtection="0"/>
    <xf numFmtId="0" fontId="18" fillId="20" borderId="8" applyNumberFormat="0" applyAlignment="0" applyProtection="0"/>
    <xf numFmtId="0" fontId="18" fillId="20" borderId="8" applyNumberFormat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31" fillId="0" borderId="0"/>
    <xf numFmtId="0" fontId="9" fillId="0" borderId="0"/>
  </cellStyleXfs>
  <cellXfs count="95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quotePrefix="1"/>
    <xf numFmtId="167" fontId="0" fillId="0" borderId="0" xfId="0" applyNumberFormat="1"/>
    <xf numFmtId="9" fontId="0" fillId="0" borderId="0" xfId="0" applyNumberFormat="1"/>
    <xf numFmtId="168" fontId="0" fillId="0" borderId="0" xfId="0" applyNumberFormat="1"/>
    <xf numFmtId="0" fontId="2" fillId="0" borderId="0" xfId="0" applyFont="1"/>
    <xf numFmtId="0" fontId="2" fillId="0" borderId="0" xfId="0" applyFont="1" applyAlignment="1">
      <alignment horizontal="right"/>
    </xf>
    <xf numFmtId="2" fontId="0" fillId="0" borderId="0" xfId="0" applyNumberFormat="1"/>
    <xf numFmtId="1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164" fontId="0" fillId="0" borderId="10" xfId="0" applyNumberFormat="1" applyBorder="1"/>
    <xf numFmtId="0" fontId="22" fillId="0" borderId="0" xfId="0" applyFont="1"/>
    <xf numFmtId="0" fontId="0" fillId="0" borderId="12" xfId="0" applyBorder="1"/>
    <xf numFmtId="0" fontId="0" fillId="0" borderId="13" xfId="0" applyBorder="1"/>
    <xf numFmtId="169" fontId="0" fillId="0" borderId="0" xfId="0" applyNumberFormat="1"/>
    <xf numFmtId="0" fontId="25" fillId="0" borderId="0" xfId="0" applyFont="1" applyAlignment="1">
      <alignment horizontal="right" indent="1"/>
    </xf>
    <xf numFmtId="0" fontId="25" fillId="0" borderId="0" xfId="0" applyFont="1"/>
    <xf numFmtId="0" fontId="22" fillId="0" borderId="0" xfId="0" applyFont="1" applyAlignment="1">
      <alignment horizontal="right"/>
    </xf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right" indent="1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4" xfId="0" quotePrefix="1" applyBorder="1" applyAlignment="1">
      <alignment horizontal="right"/>
    </xf>
    <xf numFmtId="0" fontId="0" fillId="0" borderId="14" xfId="0" applyBorder="1" applyAlignment="1">
      <alignment horizontal="right"/>
    </xf>
    <xf numFmtId="165" fontId="0" fillId="0" borderId="14" xfId="0" applyNumberFormat="1" applyBorder="1"/>
    <xf numFmtId="0" fontId="0" fillId="0" borderId="14" xfId="0" applyBorder="1"/>
    <xf numFmtId="0" fontId="0" fillId="0" borderId="0" xfId="0" applyAlignment="1">
      <alignment horizontal="right" indent="1"/>
    </xf>
    <xf numFmtId="170" fontId="0" fillId="0" borderId="0" xfId="0" applyNumberFormat="1"/>
    <xf numFmtId="0" fontId="22" fillId="0" borderId="0" xfId="0" quotePrefix="1" applyFont="1" applyAlignment="1">
      <alignment horizontal="right"/>
    </xf>
    <xf numFmtId="1" fontId="22" fillId="0" borderId="0" xfId="0" applyNumberFormat="1" applyFont="1" applyAlignment="1">
      <alignment horizontal="right"/>
    </xf>
    <xf numFmtId="0" fontId="22" fillId="24" borderId="0" xfId="0" applyFont="1" applyFill="1" applyAlignment="1">
      <alignment horizontal="right"/>
    </xf>
    <xf numFmtId="0" fontId="22" fillId="24" borderId="0" xfId="0" quotePrefix="1" applyFont="1" applyFill="1" applyAlignment="1">
      <alignment horizontal="right"/>
    </xf>
    <xf numFmtId="0" fontId="0" fillId="0" borderId="10" xfId="0" applyBorder="1" applyAlignment="1">
      <alignment horizontal="center"/>
    </xf>
    <xf numFmtId="168" fontId="0" fillId="0" borderId="10" xfId="0" applyNumberFormat="1" applyBorder="1"/>
    <xf numFmtId="168" fontId="0" fillId="24" borderId="0" xfId="0" applyNumberFormat="1" applyFill="1"/>
    <xf numFmtId="168" fontId="0" fillId="24" borderId="10" xfId="0" applyNumberFormat="1" applyFill="1" applyBorder="1"/>
    <xf numFmtId="168" fontId="0" fillId="0" borderId="0" xfId="0" applyNumberFormat="1" applyAlignment="1">
      <alignment horizontal="center"/>
    </xf>
    <xf numFmtId="0" fontId="22" fillId="0" borderId="0" xfId="0" quotePrefix="1" applyFont="1" applyAlignment="1">
      <alignment horizontal="center"/>
    </xf>
    <xf numFmtId="0" fontId="22" fillId="0" borderId="15" xfId="0" applyFont="1" applyBorder="1" applyAlignment="1">
      <alignment horizontal="center"/>
    </xf>
    <xf numFmtId="2" fontId="0" fillId="0" borderId="10" xfId="0" applyNumberFormat="1" applyBorder="1"/>
    <xf numFmtId="0" fontId="27" fillId="0" borderId="0" xfId="0" applyFont="1"/>
    <xf numFmtId="0" fontId="28" fillId="0" borderId="0" xfId="0" applyFont="1" applyAlignment="1">
      <alignment horizontal="right" indent="1"/>
    </xf>
    <xf numFmtId="0" fontId="29" fillId="0" borderId="0" xfId="0" applyFont="1"/>
    <xf numFmtId="168" fontId="0" fillId="25" borderId="0" xfId="0" applyNumberFormat="1" applyFill="1"/>
    <xf numFmtId="164" fontId="0" fillId="25" borderId="0" xfId="0" applyNumberFormat="1" applyFill="1"/>
    <xf numFmtId="164" fontId="0" fillId="25" borderId="10" xfId="0" applyNumberFormat="1" applyFill="1" applyBorder="1"/>
    <xf numFmtId="168" fontId="0" fillId="25" borderId="10" xfId="0" applyNumberFormat="1" applyFill="1" applyBorder="1"/>
    <xf numFmtId="0" fontId="22" fillId="0" borderId="11" xfId="0" applyFont="1" applyBorder="1"/>
    <xf numFmtId="0" fontId="22" fillId="0" borderId="12" xfId="0" applyFont="1" applyBorder="1"/>
    <xf numFmtId="168" fontId="0" fillId="0" borderId="14" xfId="0" applyNumberFormat="1" applyBorder="1"/>
    <xf numFmtId="166" fontId="2" fillId="0" borderId="0" xfId="0" applyNumberFormat="1" applyFont="1" applyAlignment="1">
      <alignment horizontal="center"/>
    </xf>
    <xf numFmtId="14" fontId="24" fillId="25" borderId="0" xfId="0" applyNumberFormat="1" applyFont="1" applyFill="1"/>
    <xf numFmtId="0" fontId="30" fillId="0" borderId="0" xfId="0" applyFont="1"/>
    <xf numFmtId="0" fontId="0" fillId="0" borderId="15" xfId="0" applyBorder="1" applyAlignment="1">
      <alignment horizontal="right"/>
    </xf>
    <xf numFmtId="2" fontId="0" fillId="0" borderId="15" xfId="0" applyNumberFormat="1" applyBorder="1"/>
    <xf numFmtId="165" fontId="0" fillId="0" borderId="15" xfId="0" applyNumberFormat="1" applyBorder="1"/>
    <xf numFmtId="0" fontId="0" fillId="0" borderId="15" xfId="0" applyBorder="1"/>
    <xf numFmtId="10" fontId="0" fillId="0" borderId="0" xfId="0" applyNumberFormat="1"/>
    <xf numFmtId="7" fontId="0" fillId="0" borderId="0" xfId="0" applyNumberFormat="1"/>
    <xf numFmtId="0" fontId="31" fillId="0" borderId="0" xfId="92"/>
    <xf numFmtId="0" fontId="34" fillId="0" borderId="19" xfId="92" applyFont="1" applyBorder="1" applyAlignment="1">
      <alignment horizontal="center"/>
    </xf>
    <xf numFmtId="44" fontId="34" fillId="0" borderId="19" xfId="92" applyNumberFormat="1" applyFont="1" applyBorder="1" applyAlignment="1">
      <alignment horizontal="center"/>
    </xf>
    <xf numFmtId="172" fontId="34" fillId="0" borderId="19" xfId="92" applyNumberFormat="1" applyFont="1" applyBorder="1" applyAlignment="1">
      <alignment horizontal="center"/>
    </xf>
    <xf numFmtId="0" fontId="36" fillId="0" borderId="0" xfId="0" applyFont="1"/>
    <xf numFmtId="0" fontId="36" fillId="0" borderId="0" xfId="0" quotePrefix="1" applyFont="1" applyAlignment="1">
      <alignment horizontal="right"/>
    </xf>
    <xf numFmtId="0" fontId="36" fillId="0" borderId="0" xfId="0" applyFont="1" applyAlignment="1">
      <alignment horizontal="right"/>
    </xf>
    <xf numFmtId="171" fontId="36" fillId="0" borderId="0" xfId="0" applyNumberFormat="1" applyFont="1"/>
    <xf numFmtId="168" fontId="36" fillId="0" borderId="0" xfId="0" applyNumberFormat="1" applyFont="1"/>
    <xf numFmtId="2" fontId="36" fillId="0" borderId="0" xfId="0" applyNumberFormat="1" applyFont="1"/>
    <xf numFmtId="0" fontId="37" fillId="0" borderId="0" xfId="0" applyFont="1"/>
    <xf numFmtId="0" fontId="32" fillId="0" borderId="0" xfId="93" applyFont="1" applyAlignment="1">
      <alignment horizontal="center"/>
    </xf>
    <xf numFmtId="0" fontId="33" fillId="0" borderId="0" xfId="92" applyFont="1" applyAlignment="1">
      <alignment horizontal="center" vertical="center" wrapText="1"/>
    </xf>
    <xf numFmtId="0" fontId="35" fillId="0" borderId="0" xfId="92" applyFont="1" applyAlignment="1">
      <alignment vertical="center" wrapText="1"/>
    </xf>
    <xf numFmtId="2" fontId="31" fillId="0" borderId="0" xfId="92" applyNumberFormat="1"/>
    <xf numFmtId="10" fontId="31" fillId="0" borderId="0" xfId="92" applyNumberFormat="1"/>
    <xf numFmtId="0" fontId="40" fillId="0" borderId="18" xfId="92" applyFont="1" applyBorder="1" applyAlignment="1">
      <alignment horizontal="center" vertical="center"/>
    </xf>
    <xf numFmtId="0" fontId="40" fillId="0" borderId="18" xfId="92" applyFont="1" applyBorder="1" applyAlignment="1">
      <alignment horizontal="center" vertical="center" wrapText="1"/>
    </xf>
    <xf numFmtId="0" fontId="22" fillId="28" borderId="0" xfId="0" applyFont="1" applyFill="1"/>
    <xf numFmtId="0" fontId="0" fillId="28" borderId="0" xfId="0" applyFill="1"/>
    <xf numFmtId="171" fontId="36" fillId="28" borderId="0" xfId="0" applyNumberFormat="1" applyFont="1" applyFill="1"/>
    <xf numFmtId="168" fontId="36" fillId="28" borderId="0" xfId="0" applyNumberFormat="1" applyFont="1" applyFill="1"/>
    <xf numFmtId="2" fontId="36" fillId="28" borderId="0" xfId="0" applyNumberFormat="1" applyFont="1" applyFill="1"/>
    <xf numFmtId="172" fontId="34" fillId="28" borderId="19" xfId="92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39" fillId="26" borderId="16" xfId="92" applyFont="1" applyFill="1" applyBorder="1" applyAlignment="1">
      <alignment horizontal="center" vertical="center"/>
    </xf>
    <xf numFmtId="0" fontId="39" fillId="26" borderId="17" xfId="92" applyFont="1" applyFill="1" applyBorder="1" applyAlignment="1">
      <alignment horizontal="center" vertical="center"/>
    </xf>
    <xf numFmtId="0" fontId="38" fillId="27" borderId="16" xfId="92" applyFont="1" applyFill="1" applyBorder="1" applyAlignment="1">
      <alignment horizontal="center" vertical="center" wrapText="1"/>
    </xf>
    <xf numFmtId="0" fontId="38" fillId="27" borderId="17" xfId="92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/>
    </xf>
    <xf numFmtId="0" fontId="22" fillId="0" borderId="14" xfId="0" applyFont="1" applyBorder="1" applyAlignment="1">
      <alignment horizontal="center"/>
    </xf>
    <xf numFmtId="0" fontId="23" fillId="0" borderId="0" xfId="0" applyFont="1" applyAlignment="1">
      <alignment horizontal="center"/>
    </xf>
  </cellXfs>
  <cellStyles count="94">
    <cellStyle name="20% - Accent1 2" xfId="3" xr:uid="{00000000-0005-0000-0000-000000000000}"/>
    <cellStyle name="20% - Accent1 3" xfId="4" xr:uid="{00000000-0005-0000-0000-000001000000}"/>
    <cellStyle name="20% - Accent2 2" xfId="5" xr:uid="{00000000-0005-0000-0000-000002000000}"/>
    <cellStyle name="20% - Accent2 3" xfId="6" xr:uid="{00000000-0005-0000-0000-000003000000}"/>
    <cellStyle name="20% - Accent3 2" xfId="7" xr:uid="{00000000-0005-0000-0000-000004000000}"/>
    <cellStyle name="20% - Accent3 3" xfId="8" xr:uid="{00000000-0005-0000-0000-000005000000}"/>
    <cellStyle name="20% - Accent4 2" xfId="9" xr:uid="{00000000-0005-0000-0000-000006000000}"/>
    <cellStyle name="20% - Accent4 3" xfId="10" xr:uid="{00000000-0005-0000-0000-000007000000}"/>
    <cellStyle name="20% - Accent5 2" xfId="11" xr:uid="{00000000-0005-0000-0000-000008000000}"/>
    <cellStyle name="20% - Accent5 3" xfId="12" xr:uid="{00000000-0005-0000-0000-000009000000}"/>
    <cellStyle name="20% - Accent6 2" xfId="13" xr:uid="{00000000-0005-0000-0000-00000A000000}"/>
    <cellStyle name="20% - Accent6 3" xfId="14" xr:uid="{00000000-0005-0000-0000-00000B000000}"/>
    <cellStyle name="40% - Accent1 2" xfId="15" xr:uid="{00000000-0005-0000-0000-00000C000000}"/>
    <cellStyle name="40% - Accent1 3" xfId="16" xr:uid="{00000000-0005-0000-0000-00000D000000}"/>
    <cellStyle name="40% - Accent2 2" xfId="17" xr:uid="{00000000-0005-0000-0000-00000E000000}"/>
    <cellStyle name="40% - Accent2 3" xfId="18" xr:uid="{00000000-0005-0000-0000-00000F000000}"/>
    <cellStyle name="40% - Accent3 2" xfId="19" xr:uid="{00000000-0005-0000-0000-000010000000}"/>
    <cellStyle name="40% - Accent3 3" xfId="20" xr:uid="{00000000-0005-0000-0000-000011000000}"/>
    <cellStyle name="40% - Accent4 2" xfId="21" xr:uid="{00000000-0005-0000-0000-000012000000}"/>
    <cellStyle name="40% - Accent4 3" xfId="22" xr:uid="{00000000-0005-0000-0000-000013000000}"/>
    <cellStyle name="40% - Accent5 2" xfId="23" xr:uid="{00000000-0005-0000-0000-000014000000}"/>
    <cellStyle name="40% - Accent5 3" xfId="24" xr:uid="{00000000-0005-0000-0000-000015000000}"/>
    <cellStyle name="40% - Accent6 2" xfId="25" xr:uid="{00000000-0005-0000-0000-000016000000}"/>
    <cellStyle name="40% - Accent6 3" xfId="26" xr:uid="{00000000-0005-0000-0000-000017000000}"/>
    <cellStyle name="60% - Accent1 2" xfId="27" xr:uid="{00000000-0005-0000-0000-000018000000}"/>
    <cellStyle name="60% - Accent1 3" xfId="28" xr:uid="{00000000-0005-0000-0000-000019000000}"/>
    <cellStyle name="60% - Accent2 2" xfId="29" xr:uid="{00000000-0005-0000-0000-00001A000000}"/>
    <cellStyle name="60% - Accent2 3" xfId="30" xr:uid="{00000000-0005-0000-0000-00001B000000}"/>
    <cellStyle name="60% - Accent3 2" xfId="31" xr:uid="{00000000-0005-0000-0000-00001C000000}"/>
    <cellStyle name="60% - Accent3 3" xfId="32" xr:uid="{00000000-0005-0000-0000-00001D000000}"/>
    <cellStyle name="60% - Accent4 2" xfId="33" xr:uid="{00000000-0005-0000-0000-00001E000000}"/>
    <cellStyle name="60% - Accent4 3" xfId="34" xr:uid="{00000000-0005-0000-0000-00001F000000}"/>
    <cellStyle name="60% - Accent5 2" xfId="35" xr:uid="{00000000-0005-0000-0000-000020000000}"/>
    <cellStyle name="60% - Accent5 3" xfId="36" xr:uid="{00000000-0005-0000-0000-000021000000}"/>
    <cellStyle name="60% - Accent6 2" xfId="37" xr:uid="{00000000-0005-0000-0000-000022000000}"/>
    <cellStyle name="60% - Accent6 3" xfId="38" xr:uid="{00000000-0005-0000-0000-000023000000}"/>
    <cellStyle name="Accent1 2" xfId="39" xr:uid="{00000000-0005-0000-0000-000024000000}"/>
    <cellStyle name="Accent1 3" xfId="40" xr:uid="{00000000-0005-0000-0000-000025000000}"/>
    <cellStyle name="Accent2 2" xfId="41" xr:uid="{00000000-0005-0000-0000-000026000000}"/>
    <cellStyle name="Accent2 3" xfId="42" xr:uid="{00000000-0005-0000-0000-000027000000}"/>
    <cellStyle name="Accent3 2" xfId="43" xr:uid="{00000000-0005-0000-0000-000028000000}"/>
    <cellStyle name="Accent3 3" xfId="44" xr:uid="{00000000-0005-0000-0000-000029000000}"/>
    <cellStyle name="Accent4 2" xfId="45" xr:uid="{00000000-0005-0000-0000-00002A000000}"/>
    <cellStyle name="Accent4 3" xfId="46" xr:uid="{00000000-0005-0000-0000-00002B000000}"/>
    <cellStyle name="Accent5 2" xfId="47" xr:uid="{00000000-0005-0000-0000-00002C000000}"/>
    <cellStyle name="Accent5 3" xfId="48" xr:uid="{00000000-0005-0000-0000-00002D000000}"/>
    <cellStyle name="Accent6 2" xfId="49" xr:uid="{00000000-0005-0000-0000-00002E000000}"/>
    <cellStyle name="Accent6 3" xfId="50" xr:uid="{00000000-0005-0000-0000-00002F000000}"/>
    <cellStyle name="Bad 2" xfId="51" xr:uid="{00000000-0005-0000-0000-000030000000}"/>
    <cellStyle name="Bad 3" xfId="52" xr:uid="{00000000-0005-0000-0000-000031000000}"/>
    <cellStyle name="Calculation 2" xfId="53" xr:uid="{00000000-0005-0000-0000-000032000000}"/>
    <cellStyle name="Calculation 3" xfId="54" xr:uid="{00000000-0005-0000-0000-000033000000}"/>
    <cellStyle name="Check Cell 2" xfId="55" xr:uid="{00000000-0005-0000-0000-000034000000}"/>
    <cellStyle name="Check Cell 3" xfId="56" xr:uid="{00000000-0005-0000-0000-000035000000}"/>
    <cellStyle name="Comma 2" xfId="2" xr:uid="{00000000-0005-0000-0000-000036000000}"/>
    <cellStyle name="Comma 2 2" xfId="57" xr:uid="{00000000-0005-0000-0000-000037000000}"/>
    <cellStyle name="Comma 3" xfId="58" xr:uid="{00000000-0005-0000-0000-000038000000}"/>
    <cellStyle name="Comma 4" xfId="59" xr:uid="{00000000-0005-0000-0000-000039000000}"/>
    <cellStyle name="Explanatory Text 2" xfId="60" xr:uid="{00000000-0005-0000-0000-00003A000000}"/>
    <cellStyle name="Explanatory Text 3" xfId="61" xr:uid="{00000000-0005-0000-0000-00003B000000}"/>
    <cellStyle name="Good 2" xfId="62" xr:uid="{00000000-0005-0000-0000-00003C000000}"/>
    <cellStyle name="Good 3" xfId="63" xr:uid="{00000000-0005-0000-0000-00003D000000}"/>
    <cellStyle name="Heading 1 2" xfId="64" xr:uid="{00000000-0005-0000-0000-00003E000000}"/>
    <cellStyle name="Heading 1 3" xfId="65" xr:uid="{00000000-0005-0000-0000-00003F000000}"/>
    <cellStyle name="Heading 2 2" xfId="66" xr:uid="{00000000-0005-0000-0000-000040000000}"/>
    <cellStyle name="Heading 2 3" xfId="67" xr:uid="{00000000-0005-0000-0000-000041000000}"/>
    <cellStyle name="Heading 3 2" xfId="68" xr:uid="{00000000-0005-0000-0000-000042000000}"/>
    <cellStyle name="Heading 3 3" xfId="69" xr:uid="{00000000-0005-0000-0000-000043000000}"/>
    <cellStyle name="Heading 4 2" xfId="70" xr:uid="{00000000-0005-0000-0000-000044000000}"/>
    <cellStyle name="Heading 4 3" xfId="71" xr:uid="{00000000-0005-0000-0000-000045000000}"/>
    <cellStyle name="Input 2" xfId="72" xr:uid="{00000000-0005-0000-0000-000046000000}"/>
    <cellStyle name="Input 3" xfId="73" xr:uid="{00000000-0005-0000-0000-000047000000}"/>
    <cellStyle name="Linked Cell 2" xfId="74" xr:uid="{00000000-0005-0000-0000-000048000000}"/>
    <cellStyle name="Linked Cell 3" xfId="75" xr:uid="{00000000-0005-0000-0000-000049000000}"/>
    <cellStyle name="Neutral 2" xfId="76" xr:uid="{00000000-0005-0000-0000-00004A000000}"/>
    <cellStyle name="Neutral 3" xfId="77" xr:uid="{00000000-0005-0000-0000-00004B000000}"/>
    <cellStyle name="Normal" xfId="0" builtinId="0"/>
    <cellStyle name="Normal 2" xfId="1" xr:uid="{00000000-0005-0000-0000-00004D000000}"/>
    <cellStyle name="Normal 2 3" xfId="92" xr:uid="{856D8DFC-C8F7-4991-882A-06C44ADF8F09}"/>
    <cellStyle name="Normal 3" xfId="78" xr:uid="{00000000-0005-0000-0000-00004E000000}"/>
    <cellStyle name="Normal 4" xfId="93" xr:uid="{D7CE79C3-D3EE-4A45-BC01-8A5BD085897F}"/>
    <cellStyle name="Note 2" xfId="79" xr:uid="{00000000-0005-0000-0000-00004F000000}"/>
    <cellStyle name="Note 3" xfId="80" xr:uid="{00000000-0005-0000-0000-000050000000}"/>
    <cellStyle name="Output 2" xfId="81" xr:uid="{00000000-0005-0000-0000-000051000000}"/>
    <cellStyle name="Output 3" xfId="82" xr:uid="{00000000-0005-0000-0000-000052000000}"/>
    <cellStyle name="Percent 2" xfId="83" xr:uid="{00000000-0005-0000-0000-000053000000}"/>
    <cellStyle name="Percent 3" xfId="84" xr:uid="{00000000-0005-0000-0000-000054000000}"/>
    <cellStyle name="Percent 4" xfId="85" xr:uid="{00000000-0005-0000-0000-000055000000}"/>
    <cellStyle name="Title 2" xfId="86" xr:uid="{00000000-0005-0000-0000-000056000000}"/>
    <cellStyle name="Title 3" xfId="87" xr:uid="{00000000-0005-0000-0000-000057000000}"/>
    <cellStyle name="Total 2" xfId="88" xr:uid="{00000000-0005-0000-0000-000058000000}"/>
    <cellStyle name="Total 3" xfId="89" xr:uid="{00000000-0005-0000-0000-000059000000}"/>
    <cellStyle name="Warning Text 2" xfId="90" xr:uid="{00000000-0005-0000-0000-00005A000000}"/>
    <cellStyle name="Warning Text 3" xfId="91" xr:uid="{00000000-0005-0000-0000-00005B000000}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323850</xdr:colOff>
      <xdr:row>0</xdr:row>
      <xdr:rowOff>114300</xdr:rowOff>
    </xdr:from>
    <xdr:to>
      <xdr:col>24</xdr:col>
      <xdr:colOff>171675</xdr:colOff>
      <xdr:row>18</xdr:row>
      <xdr:rowOff>108521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31104EF-65C0-582B-CD6C-33AAB66B3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54325" y="114300"/>
          <a:ext cx="2591025" cy="36518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391583</xdr:colOff>
      <xdr:row>1</xdr:row>
      <xdr:rowOff>74083</xdr:rowOff>
    </xdr:from>
    <xdr:to>
      <xdr:col>6</xdr:col>
      <xdr:colOff>486834</xdr:colOff>
      <xdr:row>4</xdr:row>
      <xdr:rowOff>21166</xdr:rowOff>
    </xdr:to>
    <xdr:sp macro="[0]!GetMarketData" textlink="">
      <xdr:nvSpPr>
        <xdr:cNvPr id="2" name="Rectangle 1">
          <a:extLst>
            <a:ext uri="{FF2B5EF4-FFF2-40B4-BE49-F238E27FC236}">
              <a16:creationId xmlns:a16="http://schemas.microsoft.com/office/drawing/2014/main" id="{4B5C688E-BDF7-40CF-8412-25B5BEBD469F}"/>
            </a:ext>
          </a:extLst>
        </xdr:cNvPr>
        <xdr:cNvSpPr/>
      </xdr:nvSpPr>
      <xdr:spPr>
        <a:xfrm>
          <a:off x="3598333" y="264583"/>
          <a:ext cx="1788584" cy="508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Get Market Prices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../LRF2021/DATA/APS-OperAssum_210324(Update%20D).xls" TargetMode="External"/><Relationship Id="rId1" Type="http://schemas.openxmlformats.org/officeDocument/2006/relationships/externalLinkPath" Target="/LRF2021/DATA/APS-OperAssum_210324(Update%20D)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../rtsim/assumptions/Cholla%20%20Forecast%20Q3_2021.xlsm" TargetMode="External"/><Relationship Id="rId1" Type="http://schemas.openxmlformats.org/officeDocument/2006/relationships/externalLinkPath" Target="/rtsim/assumptions/Cholla%20%20Forecast%20Q3_2021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../LRF2021/DATA/CoalPriceHeatRateCalcs.xlsx" TargetMode="External"/><Relationship Id="rId1" Type="http://schemas.openxmlformats.org/officeDocument/2006/relationships/externalLinkPath" Target="/LRF2021/DATA/CoalPriceHeatRateCalcs.xlsx" TargetMode="External"/></Relationships>
</file>

<file path=xl/externalLinks/_rels/externalLink4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../BGT2021/PRICES/E3MktPrices%20Scaled_190930.xlsx" TargetMode="External"/><Relationship Id="rId2" Type="http://schemas.openxmlformats.org/officeDocument/2006/relationships/externalLinkPath" Target="file:///F:\BGT2021\PRICES\E3MktPrices%20Scaled_190930.xlsx" TargetMode="External"/><Relationship Id="rId1" Type="http://schemas.openxmlformats.org/officeDocument/2006/relationships/externalLinkPath" Target="/BGT2021/PRICES/E3MktPrices%20Scaled_19093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apacities"/>
      <sheetName val="Capacities (Combined Cycle)"/>
      <sheetName val="Heat Rates_Primary"/>
      <sheetName val="Heat Rates CC Configuration-Q4"/>
      <sheetName val="Heat Rates_Secondary"/>
      <sheetName val="UOF_EUOF_FOR_EFOR by Year"/>
      <sheetName val="Operating_Limits"/>
      <sheetName val="Start-Up(Min Load)"/>
      <sheetName val="Start-Up(Generation)"/>
      <sheetName val="Variable O&amp;M"/>
      <sheetName val="Emissions - 2021"/>
      <sheetName val="Emissions - 2022"/>
      <sheetName val="Emissions - 202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7">
          <cell r="C7" t="str">
            <v>4.84</v>
          </cell>
        </row>
        <row r="10">
          <cell r="C10" t="str">
            <v>1.32</v>
          </cell>
        </row>
      </sheetData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heet1"/>
      <sheetName val="Sheet3"/>
      <sheetName val="CWUR0000SA0"/>
      <sheetName val="CWUR0000SAM"/>
      <sheetName val="wpu03t15m05"/>
      <sheetName val="wpu057303"/>
      <sheetName val="WPU119253"/>
      <sheetName val="Henry Hub Forecast"/>
      <sheetName val="ULSD"/>
      <sheetName val="GDP"/>
      <sheetName val="BNSF"/>
      <sheetName val="2020-2021 Invoiced Price"/>
      <sheetName val="Annual Summary"/>
      <sheetName val="20 year Projection"/>
      <sheetName val="Sheet2"/>
      <sheetName val="Annual Summary Chart"/>
      <sheetName val="RTSIMInpu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0">
          <cell r="C10">
            <v>2.4692611106003541</v>
          </cell>
        </row>
      </sheetData>
      <sheetData sheetId="14"/>
      <sheetData sheetId="15"/>
      <sheetData sheetId="1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Ad Hoc Report"/>
      <sheetName val="Criteria Selection"/>
    </sheetNames>
    <sheetDataSet>
      <sheetData sheetId="0">
        <row r="13">
          <cell r="K13">
            <v>11204.674169785543</v>
          </cell>
        </row>
        <row r="14">
          <cell r="K14">
            <v>9739.1411649443417</v>
          </cell>
        </row>
      </sheetData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Gas_Prices"/>
      <sheetName val="Orig_ElecPrices"/>
      <sheetName val="Rev_ElecPrices"/>
      <sheetName val="Sheet1"/>
    </sheetNames>
    <sheetDataSet>
      <sheetData sheetId="0"/>
      <sheetData sheetId="1"/>
      <sheetData sheetId="2">
        <row r="22">
          <cell r="Y22">
            <v>24.235089115492684</v>
          </cell>
        </row>
        <row r="34">
          <cell r="Y34">
            <v>23.471634597669141</v>
          </cell>
          <cell r="Z34">
            <v>22.440534536898568</v>
          </cell>
        </row>
        <row r="35">
          <cell r="Y35">
            <v>19.360217725013637</v>
          </cell>
          <cell r="Z35">
            <v>21.409450421648501</v>
          </cell>
        </row>
        <row r="36">
          <cell r="Y36">
            <v>13.991911844059226</v>
          </cell>
          <cell r="Z36">
            <v>21.064294685353996</v>
          </cell>
        </row>
        <row r="37">
          <cell r="Y37">
            <v>12.173319907930473</v>
          </cell>
          <cell r="Z37">
            <v>19.70521405300855</v>
          </cell>
        </row>
        <row r="38">
          <cell r="Y38">
            <v>14.806269325039967</v>
          </cell>
          <cell r="Z38">
            <v>19.435158550014901</v>
          </cell>
        </row>
        <row r="39">
          <cell r="Y39">
            <v>17.252711965418765</v>
          </cell>
          <cell r="Z39">
            <v>18.557834460603285</v>
          </cell>
        </row>
        <row r="40">
          <cell r="Y40">
            <v>25.956360888054714</v>
          </cell>
          <cell r="Z40">
            <v>21.488725307170789</v>
          </cell>
        </row>
        <row r="41">
          <cell r="Y41">
            <v>30.117570060109223</v>
          </cell>
          <cell r="Z41">
            <v>22.185757198974677</v>
          </cell>
        </row>
        <row r="42">
          <cell r="Y42">
            <v>28.873982757747324</v>
          </cell>
          <cell r="Z42">
            <v>21.418350907352231</v>
          </cell>
        </row>
        <row r="43">
          <cell r="Y43">
            <v>23.398882451784967</v>
          </cell>
          <cell r="Z43">
            <v>20.526979926827924</v>
          </cell>
        </row>
        <row r="44">
          <cell r="Y44">
            <v>19.883891073955066</v>
          </cell>
          <cell r="Z44">
            <v>20.189421458979119</v>
          </cell>
        </row>
        <row r="45">
          <cell r="Y45">
            <v>23.987189605760168</v>
          </cell>
          <cell r="Z45">
            <v>23.284477072041877</v>
          </cell>
        </row>
        <row r="46">
          <cell r="Y46">
            <v>23.279395415909221</v>
          </cell>
          <cell r="Z46">
            <v>22.913008673260038</v>
          </cell>
        </row>
        <row r="47">
          <cell r="Y47">
            <v>19.448695064121104</v>
          </cell>
          <cell r="Z47">
            <v>22.050652671338899</v>
          </cell>
        </row>
        <row r="48">
          <cell r="Y48">
            <v>13.974368138293055</v>
          </cell>
          <cell r="Z48">
            <v>21.958020734002091</v>
          </cell>
        </row>
        <row r="49">
          <cell r="Y49">
            <v>11.823615254719995</v>
          </cell>
          <cell r="Z49">
            <v>20.331145729190883</v>
          </cell>
        </row>
        <row r="50">
          <cell r="Y50">
            <v>14.594404639979139</v>
          </cell>
          <cell r="Z50">
            <v>19.790973173961365</v>
          </cell>
        </row>
        <row r="51">
          <cell r="Y51">
            <v>17.669127085604103</v>
          </cell>
          <cell r="Z51">
            <v>19.355464465492787</v>
          </cell>
        </row>
        <row r="52">
          <cell r="Y52">
            <v>25.806511299550046</v>
          </cell>
          <cell r="Z52">
            <v>22.180177010896632</v>
          </cell>
        </row>
        <row r="53">
          <cell r="Y53">
            <v>29.62880769605799</v>
          </cell>
          <cell r="Z53">
            <v>22.697431681188018</v>
          </cell>
        </row>
        <row r="54">
          <cell r="Y54">
            <v>28.017266631973133</v>
          </cell>
          <cell r="Z54">
            <v>21.930092615273185</v>
          </cell>
        </row>
        <row r="55">
          <cell r="Y55">
            <v>23.130752282396266</v>
          </cell>
          <cell r="Z55">
            <v>20.984723069521586</v>
          </cell>
        </row>
        <row r="56">
          <cell r="Y56">
            <v>19.616491587840489</v>
          </cell>
          <cell r="Z56">
            <v>20.798347595225369</v>
          </cell>
        </row>
        <row r="57">
          <cell r="Y57">
            <v>24.638828382996895</v>
          </cell>
          <cell r="Z57">
            <v>24.779849322719471</v>
          </cell>
        </row>
        <row r="58">
          <cell r="Y58">
            <v>23.064416513995148</v>
          </cell>
          <cell r="Z58">
            <v>23.422226562680496</v>
          </cell>
        </row>
        <row r="59">
          <cell r="Y59">
            <v>19.541957920017587</v>
          </cell>
          <cell r="Z59">
            <v>22.724063516582152</v>
          </cell>
        </row>
        <row r="60">
          <cell r="Y60">
            <v>13.550506783684261</v>
          </cell>
          <cell r="Z60">
            <v>22.925693069082133</v>
          </cell>
        </row>
        <row r="61">
          <cell r="Y61">
            <v>11.845620314597037</v>
          </cell>
          <cell r="Z61">
            <v>20.899811500387077</v>
          </cell>
        </row>
        <row r="62">
          <cell r="Y62">
            <v>14.402863406995168</v>
          </cell>
          <cell r="Z62">
            <v>20.569440475687404</v>
          </cell>
        </row>
        <row r="63">
          <cell r="Y63">
            <v>16.904395070696406</v>
          </cell>
          <cell r="Z63">
            <v>20.179364972893556</v>
          </cell>
        </row>
        <row r="64">
          <cell r="Y64">
            <v>26.033047455975801</v>
          </cell>
          <cell r="Z64">
            <v>22.73695635846024</v>
          </cell>
        </row>
        <row r="65">
          <cell r="Y65">
            <v>29.228092795212454</v>
          </cell>
          <cell r="Z65">
            <v>23.442466775829459</v>
          </cell>
        </row>
        <row r="66">
          <cell r="Y66">
            <v>27.827674574501049</v>
          </cell>
          <cell r="Z66">
            <v>22.645453024919629</v>
          </cell>
        </row>
        <row r="67">
          <cell r="Y67">
            <v>21.937401878831672</v>
          </cell>
          <cell r="Z67">
            <v>21.387453149654206</v>
          </cell>
        </row>
        <row r="68">
          <cell r="Y68">
            <v>18.758096598816167</v>
          </cell>
          <cell r="Z68">
            <v>20.883521936876971</v>
          </cell>
        </row>
        <row r="69">
          <cell r="Y69">
            <v>23.933940883984889</v>
          </cell>
          <cell r="Z69">
            <v>25.046082635053782</v>
          </cell>
        </row>
        <row r="70">
          <cell r="Y70">
            <v>23.515389512827234</v>
          </cell>
          <cell r="Z70">
            <v>23.950830746844552</v>
          </cell>
        </row>
        <row r="71">
          <cell r="Y71">
            <v>19.711472582224474</v>
          </cell>
          <cell r="Z71">
            <v>23.276819221916657</v>
          </cell>
        </row>
        <row r="72">
          <cell r="Y72">
            <v>13.969931142303233</v>
          </cell>
          <cell r="Z72">
            <v>23.666213135612526</v>
          </cell>
        </row>
        <row r="73">
          <cell r="Y73">
            <v>12.231749141157199</v>
          </cell>
          <cell r="Z73">
            <v>21.517589720955719</v>
          </cell>
        </row>
        <row r="74">
          <cell r="Y74">
            <v>14.725972044572925</v>
          </cell>
          <cell r="Z74">
            <v>21.380994792769609</v>
          </cell>
        </row>
        <row r="75">
          <cell r="Y75">
            <v>17.417337604334616</v>
          </cell>
          <cell r="Z75">
            <v>21.0190811872429</v>
          </cell>
        </row>
        <row r="76">
          <cell r="Y76">
            <v>26.662676196538612</v>
          </cell>
          <cell r="Z76">
            <v>23.413055597249667</v>
          </cell>
        </row>
        <row r="77">
          <cell r="Y77">
            <v>29.770479173585596</v>
          </cell>
          <cell r="Z77">
            <v>24.357099767243625</v>
          </cell>
        </row>
        <row r="78">
          <cell r="Y78">
            <v>28.912510076652548</v>
          </cell>
          <cell r="Z78">
            <v>23.262365945945248</v>
          </cell>
        </row>
        <row r="79">
          <cell r="Y79">
            <v>22.207270976658943</v>
          </cell>
          <cell r="Z79">
            <v>22.036593006002985</v>
          </cell>
        </row>
        <row r="80">
          <cell r="Y80">
            <v>18.915929012217372</v>
          </cell>
          <cell r="Z80">
            <v>21.603227690967582</v>
          </cell>
        </row>
        <row r="81">
          <cell r="Y81">
            <v>24.838600617440836</v>
          </cell>
          <cell r="Z81">
            <v>25.652106658163763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7"/>
  <sheetViews>
    <sheetView workbookViewId="0">
      <selection activeCell="B2" sqref="B2"/>
    </sheetView>
  </sheetViews>
  <sheetFormatPr defaultRowHeight="14.25"/>
  <cols>
    <col min="1" max="1" width="4.625" customWidth="1"/>
    <col min="2" max="2" width="70.625" customWidth="1"/>
  </cols>
  <sheetData>
    <row r="1" spans="1:2">
      <c r="A1" t="s">
        <v>0</v>
      </c>
    </row>
    <row r="2" spans="1:2">
      <c r="A2">
        <v>1</v>
      </c>
      <c r="B2" t="s">
        <v>1</v>
      </c>
    </row>
    <row r="3" spans="1:2">
      <c r="A3">
        <v>2</v>
      </c>
      <c r="B3" t="s">
        <v>2</v>
      </c>
    </row>
    <row r="4" spans="1:2">
      <c r="A4">
        <v>3</v>
      </c>
      <c r="B4" t="s">
        <v>3</v>
      </c>
    </row>
    <row r="5" spans="1:2">
      <c r="A5">
        <v>4</v>
      </c>
      <c r="B5" t="s">
        <v>4</v>
      </c>
    </row>
    <row r="6" spans="1:2">
      <c r="A6">
        <v>5</v>
      </c>
      <c r="B6" t="s">
        <v>5</v>
      </c>
    </row>
    <row r="7" spans="1:2">
      <c r="A7">
        <v>6</v>
      </c>
      <c r="B7" t="s">
        <v>6</v>
      </c>
    </row>
  </sheetData>
  <pageMargins left="0.7" right="0.7" top="0.75" bottom="0.75" header="0.3" footer="0.3"/>
  <pageSetup orientation="portrait" r:id="rId1"/>
  <headerFooter>
    <oddFooter>&amp;L&amp;1#&amp;"Calibri"&amp;10&amp;K000000Confidential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0"/>
  <sheetViews>
    <sheetView zoomScale="80" zoomScaleNormal="80" workbookViewId="0">
      <selection activeCell="A5" sqref="A5"/>
    </sheetView>
  </sheetViews>
  <sheetFormatPr defaultRowHeight="14.25"/>
  <cols>
    <col min="2" max="2" width="10.375" customWidth="1"/>
    <col min="3" max="3" width="9.25" customWidth="1"/>
    <col min="4" max="4" width="10" customWidth="1"/>
    <col min="5" max="5" width="10.625" customWidth="1"/>
    <col min="6" max="6" width="7.5" customWidth="1"/>
    <col min="7" max="7" width="12.25" bestFit="1" customWidth="1"/>
    <col min="8" max="8" width="11.125" bestFit="1" customWidth="1"/>
    <col min="9" max="9" width="8.125" customWidth="1"/>
    <col min="10" max="10" width="11.25" customWidth="1"/>
    <col min="11" max="11" width="10.25" customWidth="1"/>
    <col min="12" max="12" width="7.625" customWidth="1"/>
    <col min="13" max="14" width="7.5" customWidth="1"/>
    <col min="16" max="16" width="13.25" bestFit="1" customWidth="1"/>
    <col min="17" max="17" width="18.25" customWidth="1"/>
  </cols>
  <sheetData>
    <row r="1" spans="1:18" ht="15.75" thickBot="1">
      <c r="A1" t="s">
        <v>7</v>
      </c>
      <c r="O1" s="73" t="s">
        <v>8</v>
      </c>
      <c r="P1" s="67" t="s">
        <v>9</v>
      </c>
    </row>
    <row r="2" spans="1:18" ht="16.5" thickBot="1">
      <c r="P2" s="90" t="s">
        <v>10</v>
      </c>
      <c r="Q2" s="91"/>
      <c r="R2" s="63"/>
    </row>
    <row r="3" spans="1:18" ht="16.5" thickBot="1">
      <c r="B3" s="30" t="s">
        <v>11</v>
      </c>
      <c r="C3" s="61">
        <v>2.3900000000000001E-2</v>
      </c>
      <c r="P3" s="88" t="s">
        <v>12</v>
      </c>
      <c r="Q3" s="89"/>
      <c r="R3" s="74"/>
    </row>
    <row r="4" spans="1:18" ht="30">
      <c r="B4" s="30"/>
      <c r="C4" s="18"/>
      <c r="P4" s="79" t="s">
        <v>13</v>
      </c>
      <c r="Q4" s="80" t="s">
        <v>14</v>
      </c>
      <c r="R4" s="75"/>
    </row>
    <row r="5" spans="1:18" ht="15">
      <c r="B5" s="92" t="s">
        <v>15</v>
      </c>
      <c r="C5" s="92"/>
      <c r="D5" s="93" t="s">
        <v>16</v>
      </c>
      <c r="E5" s="92"/>
      <c r="F5" s="92"/>
      <c r="G5" s="92"/>
      <c r="H5" s="92"/>
      <c r="I5" s="42"/>
      <c r="J5" s="92" t="s">
        <v>17</v>
      </c>
      <c r="K5" s="92"/>
      <c r="L5" s="92"/>
      <c r="M5" s="92"/>
      <c r="N5" s="92"/>
      <c r="P5" s="64">
        <v>2020</v>
      </c>
      <c r="Q5" s="65">
        <v>2.8521548735693583</v>
      </c>
      <c r="R5" s="76"/>
    </row>
    <row r="6" spans="1:18">
      <c r="B6" s="25" t="s">
        <v>18</v>
      </c>
      <c r="C6" s="25" t="s">
        <v>19</v>
      </c>
      <c r="D6" s="26" t="s">
        <v>20</v>
      </c>
      <c r="E6" s="25" t="s">
        <v>18</v>
      </c>
      <c r="F6" s="25" t="s">
        <v>19</v>
      </c>
      <c r="G6" s="25" t="s">
        <v>21</v>
      </c>
      <c r="H6" s="25" t="s">
        <v>22</v>
      </c>
      <c r="I6" s="57" t="s">
        <v>23</v>
      </c>
      <c r="J6" s="68" t="s">
        <v>20</v>
      </c>
      <c r="K6" s="69" t="s">
        <v>18</v>
      </c>
      <c r="L6" s="69" t="s">
        <v>24</v>
      </c>
      <c r="M6" s="69" t="s">
        <v>19</v>
      </c>
      <c r="N6" s="69" t="s">
        <v>23</v>
      </c>
      <c r="P6" s="64">
        <f>P5+1</f>
        <v>2021</v>
      </c>
      <c r="Q6" s="65">
        <v>3.0103656744667995</v>
      </c>
      <c r="R6" s="63"/>
    </row>
    <row r="7" spans="1:18" ht="15">
      <c r="A7" s="22" t="s">
        <v>13</v>
      </c>
      <c r="B7" s="25" t="s">
        <v>25</v>
      </c>
      <c r="C7" s="25" t="s">
        <v>26</v>
      </c>
      <c r="D7" s="27" t="s">
        <v>27</v>
      </c>
      <c r="E7" s="25" t="s">
        <v>25</v>
      </c>
      <c r="F7" s="25" t="s">
        <v>26</v>
      </c>
      <c r="G7" s="25" t="s">
        <v>28</v>
      </c>
      <c r="H7" s="25" t="s">
        <v>29</v>
      </c>
      <c r="I7" s="57" t="s">
        <v>26</v>
      </c>
      <c r="J7" s="68" t="s">
        <v>30</v>
      </c>
      <c r="K7" s="69" t="s">
        <v>25</v>
      </c>
      <c r="L7" s="69" t="s">
        <v>26</v>
      </c>
      <c r="M7" s="69" t="s">
        <v>26</v>
      </c>
      <c r="N7" s="69" t="s">
        <v>26</v>
      </c>
      <c r="P7" s="64">
        <f t="shared" ref="P7:P16" si="0">P6+1</f>
        <v>2022</v>
      </c>
      <c r="Q7" s="65">
        <v>3.64</v>
      </c>
      <c r="R7" s="77"/>
    </row>
    <row r="8" spans="1:18" ht="15">
      <c r="A8" s="22">
        <v>2020</v>
      </c>
      <c r="B8" s="31">
        <v>7.3800632019815282</v>
      </c>
      <c r="C8" s="10">
        <v>1.33</v>
      </c>
      <c r="D8" s="53">
        <v>2.286781644021739</v>
      </c>
      <c r="E8" s="7">
        <v>11.281229530460038</v>
      </c>
      <c r="F8" s="10">
        <v>2.4300000000000002</v>
      </c>
      <c r="G8" s="6">
        <v>0.98</v>
      </c>
      <c r="H8" s="10">
        <f>(7.35+3.9)/18.4</f>
        <v>0.61141304347826086</v>
      </c>
      <c r="I8" s="58">
        <f>D8*E8-F8</f>
        <v>23.367708612251999</v>
      </c>
      <c r="J8" s="70">
        <v>2.9482983421560003</v>
      </c>
      <c r="K8" s="71">
        <v>9.7114115721645611</v>
      </c>
      <c r="L8" s="72">
        <f>J8*K8</f>
        <v>28.632138638207373</v>
      </c>
      <c r="M8" s="72">
        <v>5.3380391390624986</v>
      </c>
      <c r="N8" s="72">
        <f t="shared" ref="N8:N10" si="1">SUM(L8:M8)</f>
        <v>33.970177777269868</v>
      </c>
      <c r="O8" s="10"/>
      <c r="P8" s="64">
        <f t="shared" si="0"/>
        <v>2023</v>
      </c>
      <c r="Q8" s="65">
        <v>3.45</v>
      </c>
      <c r="R8" s="77"/>
    </row>
    <row r="9" spans="1:18" ht="15">
      <c r="A9" s="22">
        <f t="shared" ref="A9:A26" si="2">A8+1</f>
        <v>2021</v>
      </c>
      <c r="B9" s="31">
        <v>6.8120000000000003</v>
      </c>
      <c r="C9" s="10">
        <f>VALUE('[1]Variable O&amp;M'!$C$10)</f>
        <v>1.32</v>
      </c>
      <c r="D9" s="53">
        <f>'[2]20 year Projection'!C10</f>
        <v>2.4692611106003541</v>
      </c>
      <c r="E9" s="7">
        <f>'[3]Ad Hoc Report'!$K$13/1000</f>
        <v>11.204674169785543</v>
      </c>
      <c r="F9" s="10">
        <v>4.133</v>
      </c>
      <c r="G9" s="6">
        <f>G8+0.01</f>
        <v>0.99</v>
      </c>
      <c r="H9" s="10">
        <f>5.51/18.4</f>
        <v>0.29945652173913045</v>
      </c>
      <c r="I9" s="58">
        <f t="shared" ref="I9:I12" si="3">D9*E9-F9</f>
        <v>23.534266184399751</v>
      </c>
      <c r="J9" s="70">
        <v>3.0311678064720007</v>
      </c>
      <c r="K9" s="71">
        <f>'[3]Ad Hoc Report'!$K$14/1000</f>
        <v>9.7391411649443409</v>
      </c>
      <c r="L9" s="72">
        <f t="shared" ref="L9:L19" si="4">J9*K9</f>
        <v>29.520971161865504</v>
      </c>
      <c r="M9" s="72">
        <f>VALUE('[1]Variable O&amp;M'!$C$7)</f>
        <v>4.84</v>
      </c>
      <c r="N9" s="72">
        <f t="shared" si="1"/>
        <v>34.360971161865507</v>
      </c>
      <c r="O9" s="10"/>
      <c r="P9" s="64">
        <f t="shared" si="0"/>
        <v>2024</v>
      </c>
      <c r="Q9" s="65">
        <v>3.6621348696000005</v>
      </c>
      <c r="R9" s="63"/>
    </row>
    <row r="10" spans="1:18" ht="15">
      <c r="A10" s="22">
        <f t="shared" si="2"/>
        <v>2022</v>
      </c>
      <c r="B10" s="31">
        <f t="shared" ref="B10:B19" si="5">B9</f>
        <v>6.8120000000000003</v>
      </c>
      <c r="C10" s="10">
        <f t="shared" ref="C10:C19" si="6">$C9*(1+$C$3)</f>
        <v>1.3515480000000002</v>
      </c>
      <c r="D10" s="53">
        <v>3.02</v>
      </c>
      <c r="E10" s="7">
        <f t="shared" ref="E10:E13" si="7">E9</f>
        <v>11.204674169785543</v>
      </c>
      <c r="F10" s="10">
        <f t="shared" ref="F10:F13" si="8">F9*(1+$C$3)</f>
        <v>4.2317787000000004</v>
      </c>
      <c r="G10" s="6">
        <f t="shared" ref="G10" si="9">G9+0.01</f>
        <v>1</v>
      </c>
      <c r="H10" s="10">
        <f t="shared" ref="H10" si="10">5.51/18.4</f>
        <v>0.29945652173913045</v>
      </c>
      <c r="I10" s="58">
        <f t="shared" si="3"/>
        <v>29.606337292752343</v>
      </c>
      <c r="J10" s="70">
        <v>3.58</v>
      </c>
      <c r="K10" s="71">
        <f t="shared" ref="K10:K26" si="11">K9</f>
        <v>9.7391411649443409</v>
      </c>
      <c r="L10" s="72">
        <f t="shared" si="4"/>
        <v>34.86612537050074</v>
      </c>
      <c r="M10" s="72">
        <f t="shared" ref="M10:M26" si="12">M9*(1+$C$3)</f>
        <v>4.9556760000000004</v>
      </c>
      <c r="N10" s="72">
        <f t="shared" si="1"/>
        <v>39.821801370500737</v>
      </c>
      <c r="O10" s="10"/>
      <c r="P10" s="64">
        <f t="shared" si="0"/>
        <v>2025</v>
      </c>
      <c r="Q10" s="66">
        <v>3.5851632485999998</v>
      </c>
      <c r="R10" s="77" t="s">
        <v>31</v>
      </c>
    </row>
    <row r="11" spans="1:18" ht="15">
      <c r="A11" s="22">
        <f t="shared" si="2"/>
        <v>2023</v>
      </c>
      <c r="B11" s="31">
        <f t="shared" si="5"/>
        <v>6.8120000000000003</v>
      </c>
      <c r="C11" s="10">
        <f t="shared" si="6"/>
        <v>1.3838499972000002</v>
      </c>
      <c r="D11" s="53">
        <v>2.88</v>
      </c>
      <c r="E11" s="7">
        <f t="shared" si="7"/>
        <v>11.204674169785543</v>
      </c>
      <c r="F11" s="10">
        <f t="shared" si="8"/>
        <v>4.3329182109300008</v>
      </c>
      <c r="G11" s="6">
        <f>G10</f>
        <v>1</v>
      </c>
      <c r="H11" s="7">
        <f>(7.35+4.5885)/18.4</f>
        <v>0.6488315217391305</v>
      </c>
      <c r="I11" s="58">
        <f t="shared" si="3"/>
        <v>27.936543398052361</v>
      </c>
      <c r="J11" s="70">
        <v>3.45</v>
      </c>
      <c r="K11" s="71">
        <f t="shared" si="11"/>
        <v>9.7391411649443409</v>
      </c>
      <c r="L11" s="72">
        <f t="shared" si="4"/>
        <v>33.600037019057979</v>
      </c>
      <c r="M11" s="72">
        <f t="shared" si="12"/>
        <v>5.0741166564000002</v>
      </c>
      <c r="N11" s="72">
        <f t="shared" ref="N11" si="13">SUM(L11:M11)</f>
        <v>38.67415367545798</v>
      </c>
      <c r="O11" s="10"/>
      <c r="P11" s="64">
        <f t="shared" si="0"/>
        <v>2026</v>
      </c>
      <c r="Q11" s="86">
        <v>3.9704999999999999</v>
      </c>
      <c r="R11" s="78">
        <f>Q11/Q10-1</f>
        <v>0.10748094987040635</v>
      </c>
    </row>
    <row r="12" spans="1:18" ht="15">
      <c r="A12" s="22">
        <f t="shared" si="2"/>
        <v>2024</v>
      </c>
      <c r="B12" s="31">
        <f t="shared" si="5"/>
        <v>6.8120000000000003</v>
      </c>
      <c r="C12" s="10">
        <f t="shared" si="6"/>
        <v>1.4169240121330804</v>
      </c>
      <c r="D12" s="53">
        <v>2.92</v>
      </c>
      <c r="E12" s="7">
        <f t="shared" si="7"/>
        <v>11.204674169785543</v>
      </c>
      <c r="F12" s="10">
        <f t="shared" si="8"/>
        <v>4.436474956171228</v>
      </c>
      <c r="G12" s="6">
        <f>G11</f>
        <v>1</v>
      </c>
      <c r="H12" s="7">
        <f>(7.35+4.5885)/18.4</f>
        <v>0.6488315217391305</v>
      </c>
      <c r="I12" s="58">
        <f t="shared" si="3"/>
        <v>28.281173619602558</v>
      </c>
      <c r="J12" s="70">
        <v>3.66</v>
      </c>
      <c r="K12" s="71">
        <f t="shared" si="11"/>
        <v>9.7391411649443409</v>
      </c>
      <c r="L12" s="72">
        <f t="shared" si="4"/>
        <v>35.645256663696287</v>
      </c>
      <c r="M12" s="72">
        <f t="shared" si="12"/>
        <v>5.1953880444879603</v>
      </c>
      <c r="N12" s="72">
        <f t="shared" ref="N12:N19" si="14">SUM(L12:M12)</f>
        <v>40.84064470818425</v>
      </c>
      <c r="O12" s="10"/>
      <c r="P12" s="64">
        <f t="shared" si="0"/>
        <v>2027</v>
      </c>
      <c r="Q12" s="66">
        <v>3.85</v>
      </c>
      <c r="R12" s="78">
        <f t="shared" ref="R12:R23" si="15">Q12/Q11-1</f>
        <v>-3.0348822566427347E-2</v>
      </c>
    </row>
    <row r="13" spans="1:18" ht="15">
      <c r="A13" s="22">
        <f t="shared" si="2"/>
        <v>2025</v>
      </c>
      <c r="B13" s="31">
        <f t="shared" si="5"/>
        <v>6.8120000000000003</v>
      </c>
      <c r="C13" s="10">
        <f t="shared" si="6"/>
        <v>1.450788496023061</v>
      </c>
      <c r="D13" s="53">
        <v>2.96</v>
      </c>
      <c r="E13" s="7">
        <f t="shared" si="7"/>
        <v>11.204674169785543</v>
      </c>
      <c r="F13" s="10">
        <f t="shared" si="8"/>
        <v>4.5425067076237209</v>
      </c>
      <c r="G13" s="6">
        <f>G12</f>
        <v>1</v>
      </c>
      <c r="H13" s="7">
        <f>(7.35+4.5885)/18.4</f>
        <v>0.6488315217391305</v>
      </c>
      <c r="I13" s="58">
        <f t="shared" ref="I13" si="16">D13*E13-F13</f>
        <v>28.623328834941482</v>
      </c>
      <c r="J13" s="70">
        <f t="shared" ref="J13:J23" si="17">Q10</f>
        <v>3.5851632485999998</v>
      </c>
      <c r="K13" s="71">
        <f t="shared" si="11"/>
        <v>9.7391411649443409</v>
      </c>
      <c r="L13" s="72">
        <f t="shared" si="4"/>
        <v>34.916410977485839</v>
      </c>
      <c r="M13" s="72">
        <f t="shared" si="12"/>
        <v>5.3195578187512229</v>
      </c>
      <c r="N13" s="72">
        <f t="shared" si="14"/>
        <v>40.23596879623706</v>
      </c>
      <c r="P13" s="64">
        <f t="shared" si="0"/>
        <v>2028</v>
      </c>
      <c r="Q13" s="66">
        <v>4</v>
      </c>
      <c r="R13" s="78">
        <f t="shared" si="15"/>
        <v>3.8961038961038863E-2</v>
      </c>
    </row>
    <row r="14" spans="1:18" ht="15">
      <c r="A14" s="22">
        <f t="shared" si="2"/>
        <v>2026</v>
      </c>
      <c r="B14" s="31">
        <f t="shared" si="5"/>
        <v>6.8120000000000003</v>
      </c>
      <c r="C14" s="10">
        <f t="shared" si="6"/>
        <v>1.4854623410780123</v>
      </c>
      <c r="D14" s="28"/>
      <c r="F14" s="2"/>
      <c r="G14" s="6"/>
      <c r="H14" s="2"/>
      <c r="I14" s="59"/>
      <c r="J14" s="70">
        <f t="shared" si="17"/>
        <v>3.9704999999999999</v>
      </c>
      <c r="K14" s="71">
        <f t="shared" si="11"/>
        <v>9.7391411649443409</v>
      </c>
      <c r="L14" s="72">
        <f t="shared" si="4"/>
        <v>38.669259995411508</v>
      </c>
      <c r="M14" s="72">
        <f t="shared" si="12"/>
        <v>5.4466952506193769</v>
      </c>
      <c r="N14" s="72">
        <f t="shared" si="14"/>
        <v>44.115955246030886</v>
      </c>
      <c r="P14" s="64">
        <f t="shared" si="0"/>
        <v>2029</v>
      </c>
      <c r="Q14" s="66">
        <v>4.1500000000000004</v>
      </c>
      <c r="R14" s="78">
        <f t="shared" si="15"/>
        <v>3.7500000000000089E-2</v>
      </c>
    </row>
    <row r="15" spans="1:18" ht="15">
      <c r="A15" s="22">
        <f t="shared" si="2"/>
        <v>2027</v>
      </c>
      <c r="B15" s="31">
        <f t="shared" si="5"/>
        <v>6.8120000000000003</v>
      </c>
      <c r="C15" s="10">
        <f t="shared" si="6"/>
        <v>1.5209648910297768</v>
      </c>
      <c r="D15" s="28"/>
      <c r="F15" s="2"/>
      <c r="G15" s="6"/>
      <c r="H15" s="2"/>
      <c r="I15" s="59"/>
      <c r="J15" s="70">
        <f t="shared" si="17"/>
        <v>3.85</v>
      </c>
      <c r="K15" s="71">
        <f t="shared" si="11"/>
        <v>9.7391411649443409</v>
      </c>
      <c r="L15" s="72">
        <f>J15*K15</f>
        <v>37.495693485035716</v>
      </c>
      <c r="M15" s="72">
        <f t="shared" si="12"/>
        <v>5.5768712671091798</v>
      </c>
      <c r="N15" s="72">
        <f t="shared" si="14"/>
        <v>43.072564752144899</v>
      </c>
      <c r="P15" s="64">
        <f t="shared" si="0"/>
        <v>2030</v>
      </c>
      <c r="Q15" s="66">
        <v>4.3</v>
      </c>
      <c r="R15" s="78">
        <f t="shared" si="15"/>
        <v>3.6144578313252795E-2</v>
      </c>
    </row>
    <row r="16" spans="1:18" ht="15">
      <c r="A16" s="22">
        <f t="shared" si="2"/>
        <v>2028</v>
      </c>
      <c r="B16" s="31">
        <f t="shared" si="5"/>
        <v>6.8120000000000003</v>
      </c>
      <c r="C16" s="10">
        <f t="shared" si="6"/>
        <v>1.5573159519253885</v>
      </c>
      <c r="D16" s="28"/>
      <c r="F16" s="2"/>
      <c r="G16" s="6"/>
      <c r="H16" s="2"/>
      <c r="I16" s="59"/>
      <c r="J16" s="70">
        <f t="shared" si="17"/>
        <v>4</v>
      </c>
      <c r="K16" s="71">
        <f t="shared" si="11"/>
        <v>9.7391411649443409</v>
      </c>
      <c r="L16" s="72">
        <f t="shared" si="4"/>
        <v>38.956564659777364</v>
      </c>
      <c r="M16" s="72">
        <f t="shared" si="12"/>
        <v>5.7101584903930895</v>
      </c>
      <c r="N16" s="72">
        <f t="shared" si="14"/>
        <v>44.666723150170455</v>
      </c>
      <c r="P16" s="64">
        <f t="shared" si="0"/>
        <v>2031</v>
      </c>
      <c r="Q16" s="66">
        <v>4.47</v>
      </c>
      <c r="R16" s="78">
        <f t="shared" si="15"/>
        <v>3.953488372093017E-2</v>
      </c>
    </row>
    <row r="17" spans="1:18" ht="15">
      <c r="A17" s="22">
        <f t="shared" si="2"/>
        <v>2029</v>
      </c>
      <c r="B17" s="31">
        <f t="shared" si="5"/>
        <v>6.8120000000000003</v>
      </c>
      <c r="C17" s="10">
        <f t="shared" si="6"/>
        <v>1.5945358031764054</v>
      </c>
      <c r="D17" s="28"/>
      <c r="F17" s="2"/>
      <c r="G17" s="6"/>
      <c r="H17" s="2"/>
      <c r="I17" s="59"/>
      <c r="J17" s="70">
        <f t="shared" si="17"/>
        <v>4.1500000000000004</v>
      </c>
      <c r="K17" s="71">
        <f>K16</f>
        <v>9.7391411649443409</v>
      </c>
      <c r="L17" s="72">
        <f t="shared" si="4"/>
        <v>40.417435834519019</v>
      </c>
      <c r="M17" s="72">
        <f t="shared" si="12"/>
        <v>5.8466312783134846</v>
      </c>
      <c r="N17" s="72">
        <f t="shared" si="14"/>
        <v>46.264067112832507</v>
      </c>
      <c r="P17" s="64">
        <f>P16+1</f>
        <v>2032</v>
      </c>
      <c r="Q17" s="66">
        <f>Q16*1.038</f>
        <v>4.6398599999999997</v>
      </c>
      <c r="R17" s="78">
        <f t="shared" si="15"/>
        <v>3.8000000000000034E-2</v>
      </c>
    </row>
    <row r="18" spans="1:18" ht="15">
      <c r="A18" s="22">
        <f t="shared" si="2"/>
        <v>2030</v>
      </c>
      <c r="B18" s="31">
        <f t="shared" si="5"/>
        <v>6.8120000000000003</v>
      </c>
      <c r="C18" s="10">
        <f t="shared" si="6"/>
        <v>1.6326452088723216</v>
      </c>
      <c r="D18" s="28"/>
      <c r="F18" s="2"/>
      <c r="G18" s="6"/>
      <c r="H18" s="2"/>
      <c r="I18" s="59"/>
      <c r="J18" s="70">
        <f t="shared" si="17"/>
        <v>4.3</v>
      </c>
      <c r="K18" s="71">
        <f t="shared" si="11"/>
        <v>9.7391411649443409</v>
      </c>
      <c r="L18" s="72">
        <f t="shared" si="4"/>
        <v>41.878307009260666</v>
      </c>
      <c r="M18" s="72">
        <f t="shared" si="12"/>
        <v>5.9863657658651768</v>
      </c>
      <c r="N18" s="72">
        <f t="shared" si="14"/>
        <v>47.86467277512584</v>
      </c>
      <c r="P18" s="64">
        <f t="shared" ref="P18:P23" si="18">P17+1</f>
        <v>2033</v>
      </c>
      <c r="Q18" s="66">
        <f t="shared" ref="Q18:Q23" si="19">Q17*1.038</f>
        <v>4.8161746799999996</v>
      </c>
      <c r="R18" s="78">
        <f t="shared" si="15"/>
        <v>3.8000000000000034E-2</v>
      </c>
    </row>
    <row r="19" spans="1:18" ht="15">
      <c r="A19" s="22">
        <f t="shared" si="2"/>
        <v>2031</v>
      </c>
      <c r="B19" s="31">
        <f t="shared" si="5"/>
        <v>6.8120000000000003</v>
      </c>
      <c r="C19" s="10">
        <f t="shared" si="6"/>
        <v>1.67166542936437</v>
      </c>
      <c r="D19" s="29"/>
      <c r="I19" s="60"/>
      <c r="J19" s="70">
        <f t="shared" si="17"/>
        <v>4.47</v>
      </c>
      <c r="K19" s="71">
        <f t="shared" si="11"/>
        <v>9.7391411649443409</v>
      </c>
      <c r="L19" s="72">
        <f t="shared" si="4"/>
        <v>43.533961007301201</v>
      </c>
      <c r="M19" s="72">
        <f t="shared" si="12"/>
        <v>6.1294399076693544</v>
      </c>
      <c r="N19" s="72">
        <f t="shared" si="14"/>
        <v>49.663400914970552</v>
      </c>
      <c r="P19" s="64">
        <f t="shared" si="18"/>
        <v>2034</v>
      </c>
      <c r="Q19" s="66">
        <f t="shared" si="19"/>
        <v>4.99918931784</v>
      </c>
      <c r="R19" s="78">
        <f t="shared" si="15"/>
        <v>3.8000000000000034E-2</v>
      </c>
    </row>
    <row r="20" spans="1:18" ht="15">
      <c r="A20" s="22">
        <f t="shared" si="2"/>
        <v>2032</v>
      </c>
      <c r="J20" s="70">
        <f t="shared" si="17"/>
        <v>4.6398599999999997</v>
      </c>
      <c r="K20" s="71">
        <f t="shared" si="11"/>
        <v>9.7391411649443409</v>
      </c>
      <c r="L20" s="72">
        <f t="shared" ref="L20:L23" si="20">J20*K20</f>
        <v>45.188251525578643</v>
      </c>
      <c r="M20" s="72">
        <f t="shared" si="12"/>
        <v>6.2759335214626519</v>
      </c>
      <c r="N20" s="72">
        <f t="shared" ref="N20:N23" si="21">SUM(L20:M20)</f>
        <v>51.464185047041298</v>
      </c>
      <c r="P20" s="64">
        <f t="shared" si="18"/>
        <v>2035</v>
      </c>
      <c r="Q20" s="66">
        <f t="shared" si="19"/>
        <v>5.1891585119179204</v>
      </c>
      <c r="R20" s="78">
        <f t="shared" si="15"/>
        <v>3.8000000000000034E-2</v>
      </c>
    </row>
    <row r="21" spans="1:18" ht="15">
      <c r="A21" s="22">
        <f t="shared" si="2"/>
        <v>2033</v>
      </c>
      <c r="J21" s="70">
        <f t="shared" si="17"/>
        <v>4.8161746799999996</v>
      </c>
      <c r="K21" s="71">
        <f t="shared" si="11"/>
        <v>9.7391411649443409</v>
      </c>
      <c r="L21" s="72">
        <f t="shared" si="20"/>
        <v>46.905405083550633</v>
      </c>
      <c r="M21" s="72">
        <f t="shared" si="12"/>
        <v>6.4259283326256096</v>
      </c>
      <c r="N21" s="72">
        <f t="shared" si="21"/>
        <v>53.331333416176243</v>
      </c>
      <c r="P21" s="64">
        <f t="shared" si="18"/>
        <v>2036</v>
      </c>
      <c r="Q21" s="66">
        <f t="shared" si="19"/>
        <v>5.3863465353708015</v>
      </c>
      <c r="R21" s="78">
        <f t="shared" si="15"/>
        <v>3.8000000000000034E-2</v>
      </c>
    </row>
    <row r="22" spans="1:18" ht="15">
      <c r="A22" s="22">
        <f t="shared" si="2"/>
        <v>2034</v>
      </c>
      <c r="J22" s="70">
        <f t="shared" si="17"/>
        <v>4.99918931784</v>
      </c>
      <c r="K22" s="71">
        <f t="shared" si="11"/>
        <v>9.7391411649443409</v>
      </c>
      <c r="L22" s="72">
        <f t="shared" si="20"/>
        <v>48.687810476725559</v>
      </c>
      <c r="M22" s="72">
        <f t="shared" si="12"/>
        <v>6.5795080197753615</v>
      </c>
      <c r="N22" s="72">
        <f t="shared" si="21"/>
        <v>55.26731849650092</v>
      </c>
      <c r="P22" s="64">
        <f t="shared" si="18"/>
        <v>2037</v>
      </c>
      <c r="Q22" s="66">
        <f t="shared" si="19"/>
        <v>5.5910277037148921</v>
      </c>
      <c r="R22" s="78">
        <f t="shared" si="15"/>
        <v>3.8000000000000034E-2</v>
      </c>
    </row>
    <row r="23" spans="1:18" ht="15">
      <c r="A23" s="22">
        <f t="shared" si="2"/>
        <v>2035</v>
      </c>
      <c r="J23" s="70">
        <f t="shared" si="17"/>
        <v>5.1891585119179204</v>
      </c>
      <c r="K23" s="71">
        <f t="shared" si="11"/>
        <v>9.7391411649443409</v>
      </c>
      <c r="L23" s="72">
        <f t="shared" si="20"/>
        <v>50.537947274841137</v>
      </c>
      <c r="M23" s="72">
        <f t="shared" si="12"/>
        <v>6.7367582614479931</v>
      </c>
      <c r="N23" s="72">
        <f t="shared" si="21"/>
        <v>57.274705536289133</v>
      </c>
      <c r="P23" s="64">
        <f t="shared" si="18"/>
        <v>2038</v>
      </c>
      <c r="Q23" s="66">
        <f t="shared" si="19"/>
        <v>5.8034867564560582</v>
      </c>
      <c r="R23" s="78">
        <f t="shared" si="15"/>
        <v>3.8000000000000034E-2</v>
      </c>
    </row>
    <row r="24" spans="1:18" ht="15">
      <c r="A24" s="22">
        <f t="shared" si="2"/>
        <v>2036</v>
      </c>
      <c r="J24" s="70">
        <f t="shared" ref="J24" si="22">Q21</f>
        <v>5.3863465353708015</v>
      </c>
      <c r="K24" s="71">
        <f t="shared" si="11"/>
        <v>9.7391411649443409</v>
      </c>
      <c r="L24" s="72">
        <f t="shared" ref="L24" si="23">J24*K24</f>
        <v>52.4583892712851</v>
      </c>
      <c r="M24" s="72">
        <f t="shared" si="12"/>
        <v>6.8977667838965999</v>
      </c>
      <c r="N24" s="72">
        <f t="shared" ref="N24" si="24">SUM(L24:M24)</f>
        <v>59.3561560551817</v>
      </c>
      <c r="P24" s="64"/>
      <c r="Q24" s="66"/>
    </row>
    <row r="25" spans="1:18" ht="15">
      <c r="A25" s="22">
        <f t="shared" si="2"/>
        <v>2037</v>
      </c>
      <c r="J25" s="83">
        <f t="shared" ref="J25:J26" si="25">Q22</f>
        <v>5.5910277037148921</v>
      </c>
      <c r="K25" s="84">
        <f t="shared" si="11"/>
        <v>9.7391411649443409</v>
      </c>
      <c r="L25" s="85">
        <f t="shared" ref="L25:L26" si="26">J25*K25</f>
        <v>54.451808063593937</v>
      </c>
      <c r="M25" s="85">
        <f t="shared" si="12"/>
        <v>7.0626234100317289</v>
      </c>
      <c r="N25" s="85">
        <f>SUM(L25:M25)</f>
        <v>61.514431473625663</v>
      </c>
      <c r="P25" s="64"/>
      <c r="Q25" s="66"/>
    </row>
    <row r="26" spans="1:18" ht="15">
      <c r="A26" s="22">
        <f t="shared" si="2"/>
        <v>2038</v>
      </c>
      <c r="J26" s="83">
        <f t="shared" si="25"/>
        <v>5.8034867564560582</v>
      </c>
      <c r="K26" s="84">
        <f t="shared" si="11"/>
        <v>9.7391411649443409</v>
      </c>
      <c r="L26" s="85">
        <f t="shared" si="26"/>
        <v>56.520976770010506</v>
      </c>
      <c r="M26" s="85">
        <f t="shared" si="12"/>
        <v>7.2314201095314878</v>
      </c>
      <c r="N26" s="85">
        <f t="shared" ref="N26" si="27">SUM(L26:M26)</f>
        <v>63.75239687954199</v>
      </c>
      <c r="P26" s="64"/>
      <c r="Q26" s="66"/>
    </row>
    <row r="27" spans="1:18">
      <c r="P27" s="64"/>
      <c r="Q27" s="66"/>
    </row>
    <row r="28" spans="1:18">
      <c r="P28" s="64"/>
      <c r="Q28" s="66"/>
    </row>
    <row r="29" spans="1:18">
      <c r="P29" s="64"/>
      <c r="Q29" s="66"/>
    </row>
    <row r="30" spans="1:18">
      <c r="P30" s="64"/>
      <c r="Q30" s="66"/>
    </row>
  </sheetData>
  <mergeCells count="5">
    <mergeCell ref="P3:Q3"/>
    <mergeCell ref="P2:Q2"/>
    <mergeCell ref="B5:C5"/>
    <mergeCell ref="D5:H5"/>
    <mergeCell ref="J5:N5"/>
  </mergeCells>
  <pageMargins left="0.7" right="0.7" top="0.75" bottom="0.75" header="0.3" footer="0.3"/>
  <pageSetup orientation="portrait" r:id="rId1"/>
  <headerFooter>
    <oddFooter>&amp;L&amp;1#&amp;"Calibri"&amp;10&amp;K000000Confidential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C00000"/>
  </sheetPr>
  <dimension ref="A1:S81"/>
  <sheetViews>
    <sheetView zoomScale="90" zoomScaleNormal="90" workbookViewId="0">
      <selection activeCell="A10" sqref="A10:G81"/>
    </sheetView>
  </sheetViews>
  <sheetFormatPr defaultRowHeight="14.25"/>
  <cols>
    <col min="2" max="2" width="12.25" customWidth="1"/>
    <col min="3" max="3" width="11.625" customWidth="1"/>
    <col min="4" max="4" width="11.125" customWidth="1"/>
    <col min="5" max="5" width="9" style="3" customWidth="1"/>
    <col min="6" max="6" width="13.25" customWidth="1"/>
    <col min="7" max="7" width="11" customWidth="1"/>
    <col min="8" max="8" width="10.125" customWidth="1"/>
    <col min="10" max="10" width="10.625" customWidth="1"/>
    <col min="12" max="12" width="10.25" bestFit="1" customWidth="1"/>
    <col min="15" max="16" width="11.25" customWidth="1"/>
    <col min="17" max="17" width="9.625" customWidth="1"/>
    <col min="18" max="18" width="11.25" bestFit="1" customWidth="1"/>
  </cols>
  <sheetData>
    <row r="1" spans="1:19" ht="15">
      <c r="B1" s="23" t="s">
        <v>32</v>
      </c>
      <c r="C1" s="55">
        <v>46234</v>
      </c>
      <c r="D1" s="56" t="s">
        <v>33</v>
      </c>
    </row>
    <row r="2" spans="1:19" ht="15">
      <c r="B2" s="23" t="s">
        <v>34</v>
      </c>
      <c r="C2" t="s">
        <v>35</v>
      </c>
    </row>
    <row r="4" spans="1:19" ht="15">
      <c r="C4" s="23" t="s">
        <v>36</v>
      </c>
      <c r="D4" s="15" t="s">
        <v>37</v>
      </c>
    </row>
    <row r="5" spans="1:19" ht="15">
      <c r="A5" s="15"/>
      <c r="C5" s="19" t="str">
        <f>"AllPrices_"&amp; TEXT(MONTH($C$1),"00") &amp; TEXT(DAY($C$1),"00")&amp; RIGHT(TEXT(YEAR($C$1),"0000"),2) &amp; ".xlsx"</f>
        <v>AllPrices_073126.xlsx</v>
      </c>
      <c r="D5" s="20" t="b" cm="1">
        <f t="array" ref="D5">FileExists($C$2&amp;C5)</f>
        <v>1</v>
      </c>
    </row>
    <row r="7" spans="1:19" ht="18">
      <c r="A7" s="94" t="str">
        <f>"MONTHLY FORWARD PRICES OF " &amp; TEXT(C1,"mm/dd/yyyy")</f>
        <v>MONTHLY FORWARD PRICES OF 07/31/2026</v>
      </c>
      <c r="B7" s="94"/>
      <c r="C7" s="94"/>
      <c r="D7" s="94"/>
      <c r="E7" s="94"/>
      <c r="F7" s="94"/>
      <c r="G7" s="94"/>
      <c r="J7" s="94" t="str">
        <f>"SCALED MONTHLY E3 PRICES (9/30/2019)"</f>
        <v>SCALED MONTHLY E3 PRICES (9/30/2019)</v>
      </c>
      <c r="K7" s="94"/>
      <c r="L7" s="94"/>
      <c r="M7" s="94"/>
      <c r="N7" s="94"/>
      <c r="O7" s="94"/>
      <c r="P7" s="94"/>
      <c r="Q7" s="94"/>
      <c r="R7" s="94"/>
    </row>
    <row r="8" spans="1:19" ht="15">
      <c r="B8" s="92" t="s">
        <v>38</v>
      </c>
      <c r="C8" s="92"/>
      <c r="D8" s="92"/>
      <c r="E8" s="92"/>
      <c r="F8" s="92" t="s">
        <v>39</v>
      </c>
      <c r="G8" s="92"/>
      <c r="H8" s="4"/>
      <c r="I8" s="4"/>
      <c r="K8" s="92" t="s">
        <v>38</v>
      </c>
      <c r="L8" s="92"/>
      <c r="M8" s="92"/>
      <c r="N8" s="92"/>
      <c r="O8" s="92" t="s">
        <v>39</v>
      </c>
      <c r="P8" s="92"/>
    </row>
    <row r="9" spans="1:19" ht="15">
      <c r="A9" s="8" t="s">
        <v>40</v>
      </c>
      <c r="B9" s="12" t="s">
        <v>41</v>
      </c>
      <c r="C9" s="12" t="s">
        <v>42</v>
      </c>
      <c r="D9" s="12" t="s">
        <v>43</v>
      </c>
      <c r="E9" s="54" t="s">
        <v>44</v>
      </c>
      <c r="F9" s="12" t="s">
        <v>45</v>
      </c>
      <c r="G9" s="12" t="s">
        <v>46</v>
      </c>
      <c r="H9" s="12" t="s">
        <v>47</v>
      </c>
      <c r="I9" s="9"/>
      <c r="J9" s="12" t="s">
        <v>40</v>
      </c>
      <c r="K9" s="12" t="s">
        <v>41</v>
      </c>
      <c r="L9" s="12" t="s">
        <v>42</v>
      </c>
      <c r="M9" s="12" t="s">
        <v>43</v>
      </c>
      <c r="N9" s="54" t="s">
        <v>44</v>
      </c>
      <c r="O9" s="12" t="s">
        <v>45</v>
      </c>
      <c r="P9" s="12" t="s">
        <v>46</v>
      </c>
      <c r="Q9" s="12" t="s">
        <v>48</v>
      </c>
      <c r="R9" s="12" t="s">
        <v>49</v>
      </c>
      <c r="S9" s="24"/>
    </row>
    <row r="10" spans="1:19">
      <c r="A10" s="1">
        <v>46023</v>
      </c>
      <c r="B10" s="10">
        <v>3.4351881720430106</v>
      </c>
      <c r="C10" s="10">
        <v>7.7125806451612906</v>
      </c>
      <c r="D10" s="10">
        <v>1.95</v>
      </c>
      <c r="E10" s="10">
        <v>3.3808064516129033</v>
      </c>
      <c r="F10" s="10">
        <v>30.277037037037037</v>
      </c>
      <c r="G10" s="10">
        <v>33.543548387096777</v>
      </c>
      <c r="H10" s="10">
        <f>0.57*F10+0.43*G10</f>
        <v>31.681636917562724</v>
      </c>
      <c r="I10" s="10"/>
      <c r="J10" s="1">
        <v>46753</v>
      </c>
      <c r="K10" s="7">
        <v>2.6524999999999999</v>
      </c>
      <c r="L10" s="47">
        <f>K10*Q10</f>
        <v>2.679898880069588</v>
      </c>
      <c r="M10" s="7">
        <v>2.8779677419354841</v>
      </c>
      <c r="N10" s="47">
        <f>K10*R10</f>
        <v>3.0908820811134068</v>
      </c>
      <c r="O10" s="10">
        <f>[4]Rev_ElecPrices!Y34</f>
        <v>23.471634597669141</v>
      </c>
      <c r="P10" s="10">
        <f>[4]Rev_ElecPrices!Z34</f>
        <v>22.440534536898568</v>
      </c>
      <c r="Q10" s="3">
        <f>C70/B70</f>
        <v>1.0103294552571491</v>
      </c>
      <c r="R10" s="3">
        <f>E70/B70</f>
        <v>1.1652712841143853</v>
      </c>
    </row>
    <row r="11" spans="1:19">
      <c r="A11" s="1">
        <v>46054</v>
      </c>
      <c r="B11" s="10">
        <v>1.3170833333333334</v>
      </c>
      <c r="C11" s="10">
        <v>3.8382142857142858</v>
      </c>
      <c r="D11" s="10">
        <v>-1.7033928571428572</v>
      </c>
      <c r="E11" s="10">
        <v>1.7432142857142858</v>
      </c>
      <c r="F11" s="10">
        <v>20.568750000000001</v>
      </c>
      <c r="G11" s="10">
        <v>25.712499999999999</v>
      </c>
      <c r="H11" s="10">
        <f t="shared" ref="H11:H69" si="0">0.57*F11+0.43*G11</f>
        <v>22.780562499999998</v>
      </c>
      <c r="I11" s="10"/>
      <c r="J11" s="1">
        <v>46784</v>
      </c>
      <c r="K11" s="7">
        <v>2.5750000000000002</v>
      </c>
      <c r="L11" s="47">
        <f t="shared" ref="L11:L57" si="1">K11*Q11</f>
        <v>2.5374898030532576</v>
      </c>
      <c r="M11" s="7">
        <v>2.79396551724138</v>
      </c>
      <c r="N11" s="47">
        <f t="shared" ref="N11:N57" si="2">K11*R11</f>
        <v>2.9245950355436432</v>
      </c>
      <c r="O11" s="10">
        <f>[4]Rev_ElecPrices!Y35</f>
        <v>19.360217725013637</v>
      </c>
      <c r="P11" s="10">
        <f>[4]Rev_ElecPrices!Z35</f>
        <v>21.409450421648501</v>
      </c>
      <c r="Q11" s="3">
        <f t="shared" ref="Q11:Q21" si="3">C71/B71</f>
        <v>0.98543293322456593</v>
      </c>
      <c r="R11" s="3">
        <f t="shared" ref="R11:R21" si="4">E71/B71</f>
        <v>1.1357650623470459</v>
      </c>
    </row>
    <row r="12" spans="1:19">
      <c r="A12" s="1">
        <v>46082</v>
      </c>
      <c r="B12" s="10">
        <v>0.85099462365591405</v>
      </c>
      <c r="C12" s="10">
        <v>3.0582258064516132</v>
      </c>
      <c r="D12" s="10">
        <v>-3.447741935483871</v>
      </c>
      <c r="E12" s="10">
        <v>1.19</v>
      </c>
      <c r="F12" s="10">
        <v>21.045384615384616</v>
      </c>
      <c r="G12" s="10">
        <v>26.489677419354837</v>
      </c>
      <c r="H12" s="10">
        <f t="shared" si="0"/>
        <v>23.38643052109181</v>
      </c>
      <c r="I12" s="10"/>
      <c r="J12" s="1">
        <v>46813</v>
      </c>
      <c r="K12" s="7">
        <v>2.4500000000000002</v>
      </c>
      <c r="L12" s="47">
        <f t="shared" si="1"/>
        <v>2.6350568447282359</v>
      </c>
      <c r="M12" s="7">
        <v>2.6583225806451614</v>
      </c>
      <c r="N12" s="47">
        <f t="shared" si="2"/>
        <v>3.0108939417536207</v>
      </c>
      <c r="O12" s="10">
        <f>[4]Rev_ElecPrices!Y36</f>
        <v>13.991911844059226</v>
      </c>
      <c r="P12" s="10">
        <f>[4]Rev_ElecPrices!Z36</f>
        <v>21.064294685353996</v>
      </c>
      <c r="Q12" s="3">
        <f t="shared" si="3"/>
        <v>1.0755334060115247</v>
      </c>
      <c r="R12" s="3">
        <f t="shared" si="4"/>
        <v>1.2289363027565798</v>
      </c>
    </row>
    <row r="13" spans="1:19">
      <c r="A13" s="1">
        <v>46113</v>
      </c>
      <c r="B13" s="10">
        <v>0.45083333333333336</v>
      </c>
      <c r="C13" s="10">
        <v>2.7736666666666667</v>
      </c>
      <c r="D13" s="10">
        <v>-6.0676666666666668</v>
      </c>
      <c r="E13" s="10">
        <v>0.83416666666666672</v>
      </c>
      <c r="F13" s="10">
        <v>10.498076923076923</v>
      </c>
      <c r="G13" s="10">
        <v>19.250333333333334</v>
      </c>
      <c r="H13" s="10">
        <f t="shared" si="0"/>
        <v>14.261547179487179</v>
      </c>
      <c r="I13" s="10"/>
      <c r="J13" s="1">
        <v>46844</v>
      </c>
      <c r="K13" s="7">
        <v>2.02</v>
      </c>
      <c r="L13" s="47">
        <f t="shared" si="1"/>
        <v>2.8858480074142729</v>
      </c>
      <c r="M13" s="7">
        <v>2.1918333333333333</v>
      </c>
      <c r="N13" s="47">
        <f t="shared" si="2"/>
        <v>2.6097126969416125</v>
      </c>
      <c r="O13" s="10">
        <f>[4]Rev_ElecPrices!Y37</f>
        <v>12.173319907930473</v>
      </c>
      <c r="P13" s="10">
        <f>[4]Rev_ElecPrices!Z37</f>
        <v>19.70521405300855</v>
      </c>
      <c r="Q13" s="3">
        <f t="shared" si="3"/>
        <v>1.4286376274328083</v>
      </c>
      <c r="R13" s="3">
        <f t="shared" si="4"/>
        <v>1.2919369786839665</v>
      </c>
    </row>
    <row r="14" spans="1:19">
      <c r="A14" s="1">
        <v>46143</v>
      </c>
      <c r="B14" s="10">
        <v>0.87696236559139784</v>
      </c>
      <c r="C14" s="10">
        <v>2.8882258064516129</v>
      </c>
      <c r="D14" s="10">
        <v>-3.4187096774193551</v>
      </c>
      <c r="E14" s="10">
        <v>1.2587096774193549</v>
      </c>
      <c r="F14" s="10">
        <v>17.472000000000001</v>
      </c>
      <c r="G14" s="10">
        <v>23.704137931034481</v>
      </c>
      <c r="H14" s="10">
        <f t="shared" si="0"/>
        <v>20.151819310344827</v>
      </c>
      <c r="I14" s="10"/>
      <c r="J14" s="1">
        <v>46874</v>
      </c>
      <c r="K14" s="7">
        <v>1.9924999999999999</v>
      </c>
      <c r="L14" s="47">
        <f t="shared" si="1"/>
        <v>2.8780030812988859</v>
      </c>
      <c r="M14" s="7">
        <v>2.1619032258064519</v>
      </c>
      <c r="N14" s="47">
        <f t="shared" si="2"/>
        <v>2.5922807537331116</v>
      </c>
      <c r="O14" s="10">
        <f>[4]Rev_ElecPrices!Y38</f>
        <v>14.806269325039967</v>
      </c>
      <c r="P14" s="10">
        <f>[4]Rev_ElecPrices!Z38</f>
        <v>19.435158550014901</v>
      </c>
      <c r="Q14" s="3">
        <f t="shared" si="3"/>
        <v>1.44441810855653</v>
      </c>
      <c r="R14" s="3">
        <f t="shared" si="4"/>
        <v>1.3010191988622894</v>
      </c>
    </row>
    <row r="15" spans="1:19">
      <c r="A15" s="1">
        <v>46174</v>
      </c>
      <c r="B15" s="10">
        <v>1.44</v>
      </c>
      <c r="C15" s="10">
        <v>3.1429999999999998</v>
      </c>
      <c r="D15" s="10">
        <v>0.18766666666666668</v>
      </c>
      <c r="E15" s="10">
        <v>2.0933333333333333</v>
      </c>
      <c r="F15" s="10">
        <v>25.266153846153845</v>
      </c>
      <c r="G15" s="10">
        <v>26.034666666666666</v>
      </c>
      <c r="H15" s="10">
        <f t="shared" si="0"/>
        <v>25.596614358974357</v>
      </c>
      <c r="I15" s="10"/>
      <c r="J15" s="1">
        <v>46905</v>
      </c>
      <c r="K15" s="7">
        <v>2.0345</v>
      </c>
      <c r="L15" s="47">
        <f t="shared" si="1"/>
        <v>2.8703166332665333</v>
      </c>
      <c r="M15" s="7">
        <v>2.2072999999999996</v>
      </c>
      <c r="N15" s="47">
        <f t="shared" si="2"/>
        <v>2.6166270318414608</v>
      </c>
      <c r="O15" s="10">
        <f>[4]Rev_ElecPrices!Y39</f>
        <v>17.252711965418765</v>
      </c>
      <c r="P15" s="10">
        <f>[4]Rev_ElecPrices!Z39</f>
        <v>18.557834460603285</v>
      </c>
      <c r="Q15" s="3">
        <f t="shared" si="3"/>
        <v>1.4108216432865732</v>
      </c>
      <c r="R15" s="3">
        <f t="shared" si="4"/>
        <v>1.2861278111779115</v>
      </c>
    </row>
    <row r="16" spans="1:19">
      <c r="A16" s="1">
        <v>46204</v>
      </c>
      <c r="B16" s="10">
        <v>1.7319623655913978</v>
      </c>
      <c r="C16" s="10">
        <v>2.9387096774193551</v>
      </c>
      <c r="D16" s="10">
        <v>1.5575806451612904</v>
      </c>
      <c r="E16" s="10">
        <v>2.3303225806451615</v>
      </c>
      <c r="F16" s="10">
        <v>49.907692307692308</v>
      </c>
      <c r="G16" s="10">
        <v>45.545161290322582</v>
      </c>
      <c r="H16" s="10">
        <f t="shared" si="0"/>
        <v>48.031803970223322</v>
      </c>
      <c r="I16" s="10"/>
      <c r="J16" s="1">
        <v>46935</v>
      </c>
      <c r="K16" s="7">
        <v>2.1269999999999998</v>
      </c>
      <c r="L16" s="47">
        <f t="shared" si="1"/>
        <v>2.473853321829163</v>
      </c>
      <c r="M16" s="7">
        <v>2.3078064516129033</v>
      </c>
      <c r="N16" s="47">
        <f t="shared" si="2"/>
        <v>2.7436281276962897</v>
      </c>
      <c r="O16" s="10">
        <f>[4]Rev_ElecPrices!Y40</f>
        <v>25.956360888054714</v>
      </c>
      <c r="P16" s="10">
        <f>[4]Rev_ElecPrices!Z40</f>
        <v>21.488725307170789</v>
      </c>
      <c r="Q16" s="3">
        <f t="shared" si="3"/>
        <v>1.1630716134598793</v>
      </c>
      <c r="R16" s="3">
        <f t="shared" si="4"/>
        <v>1.2899050905953409</v>
      </c>
    </row>
    <row r="17" spans="1:18">
      <c r="A17" s="1">
        <v>46235</v>
      </c>
      <c r="B17" s="10">
        <v>2.38</v>
      </c>
      <c r="C17" s="10">
        <v>2.7250000000000001</v>
      </c>
      <c r="D17" s="10">
        <v>1.8</v>
      </c>
      <c r="E17" s="10">
        <v>2.82</v>
      </c>
      <c r="F17" s="10">
        <v>63.4</v>
      </c>
      <c r="G17" s="10">
        <v>56.25</v>
      </c>
      <c r="H17" s="10">
        <f t="shared" si="0"/>
        <v>60.325499999999998</v>
      </c>
      <c r="I17" s="10"/>
      <c r="J17" s="1">
        <v>46966</v>
      </c>
      <c r="K17" s="7">
        <v>2.1545000000000001</v>
      </c>
      <c r="L17" s="47">
        <f t="shared" si="1"/>
        <v>2.4887563237774031</v>
      </c>
      <c r="M17" s="7">
        <v>2.3376451612903226</v>
      </c>
      <c r="N17" s="47">
        <f t="shared" si="2"/>
        <v>2.7666977234401351</v>
      </c>
      <c r="O17" s="10">
        <f>[4]Rev_ElecPrices!Y41</f>
        <v>30.117570060109223</v>
      </c>
      <c r="P17" s="10">
        <f>[4]Rev_ElecPrices!Z41</f>
        <v>22.185757198974677</v>
      </c>
      <c r="Q17" s="3">
        <f t="shared" si="3"/>
        <v>1.1551433389544687</v>
      </c>
      <c r="R17" s="3">
        <f t="shared" si="4"/>
        <v>1.2841483979763912</v>
      </c>
    </row>
    <row r="18" spans="1:18">
      <c r="A18" s="1">
        <v>46266</v>
      </c>
      <c r="B18" s="10">
        <v>2.2395</v>
      </c>
      <c r="C18" s="10">
        <v>2.7469999999999999</v>
      </c>
      <c r="D18" s="10">
        <v>1.7769999999999999</v>
      </c>
      <c r="E18" s="10">
        <v>2.782</v>
      </c>
      <c r="F18" s="10">
        <v>46.39</v>
      </c>
      <c r="G18" s="10">
        <v>46.64</v>
      </c>
      <c r="H18" s="10">
        <f t="shared" si="0"/>
        <v>46.497500000000002</v>
      </c>
      <c r="I18" s="10"/>
      <c r="J18" s="1">
        <v>46997</v>
      </c>
      <c r="K18" s="7">
        <v>2.1495000000000002</v>
      </c>
      <c r="L18" s="47">
        <f t="shared" si="1"/>
        <v>2.5060347127222986</v>
      </c>
      <c r="M18" s="7">
        <v>2.3322000000000003</v>
      </c>
      <c r="N18" s="47">
        <f t="shared" si="2"/>
        <v>2.7137069938440495</v>
      </c>
      <c r="O18" s="10">
        <f>[4]Rev_ElecPrices!Y42</f>
        <v>28.873982757747324</v>
      </c>
      <c r="P18" s="10">
        <f>[4]Rev_ElecPrices!Z42</f>
        <v>21.418350907352231</v>
      </c>
      <c r="Q18" s="3">
        <f t="shared" si="3"/>
        <v>1.1658686730506156</v>
      </c>
      <c r="R18" s="3">
        <f t="shared" si="4"/>
        <v>1.262482900136799</v>
      </c>
    </row>
    <row r="19" spans="1:18">
      <c r="A19" s="1">
        <v>46296</v>
      </c>
      <c r="B19" s="10">
        <v>2.097</v>
      </c>
      <c r="C19" s="10">
        <v>2.7869999999999999</v>
      </c>
      <c r="D19" s="10">
        <v>1.7395</v>
      </c>
      <c r="E19" s="10">
        <v>2.4119999999999999</v>
      </c>
      <c r="F19" s="10">
        <v>31.78</v>
      </c>
      <c r="G19" s="10">
        <v>40.450000000000003</v>
      </c>
      <c r="H19" s="10">
        <f t="shared" si="0"/>
        <v>35.508099999999999</v>
      </c>
      <c r="I19" s="10"/>
      <c r="J19" s="1">
        <v>47027</v>
      </c>
      <c r="K19" s="7">
        <v>2.1444999999999999</v>
      </c>
      <c r="L19" s="47">
        <f t="shared" si="1"/>
        <v>2.5118815922069198</v>
      </c>
      <c r="M19" s="7">
        <v>2.3267741935483874</v>
      </c>
      <c r="N19" s="47">
        <f t="shared" si="2"/>
        <v>2.2957747732616727</v>
      </c>
      <c r="O19" s="10">
        <f>[4]Rev_ElecPrices!Y43</f>
        <v>23.398882451784967</v>
      </c>
      <c r="P19" s="10">
        <f>[4]Rev_ElecPrices!Z43</f>
        <v>20.526979926827924</v>
      </c>
      <c r="Q19" s="3">
        <f t="shared" si="3"/>
        <v>1.1713134027544509</v>
      </c>
      <c r="R19" s="3">
        <f t="shared" si="4"/>
        <v>1.0705408128988916</v>
      </c>
    </row>
    <row r="20" spans="1:18">
      <c r="A20" s="1">
        <v>46327</v>
      </c>
      <c r="B20" s="10">
        <v>2.4365000000000001</v>
      </c>
      <c r="C20" s="10">
        <v>3.004</v>
      </c>
      <c r="D20" s="10">
        <v>1.8765000000000001</v>
      </c>
      <c r="E20" s="10">
        <v>2.8340000000000001</v>
      </c>
      <c r="F20" s="10">
        <v>30.8</v>
      </c>
      <c r="G20" s="10">
        <v>38</v>
      </c>
      <c r="H20" s="10">
        <f t="shared" si="0"/>
        <v>33.896000000000001</v>
      </c>
      <c r="I20" s="10"/>
      <c r="J20" s="1">
        <v>47058</v>
      </c>
      <c r="K20" s="7">
        <v>2.2105000000000001</v>
      </c>
      <c r="L20" s="47">
        <f t="shared" si="1"/>
        <v>2.4961377318333842</v>
      </c>
      <c r="M20" s="7">
        <v>2.3984333333333336</v>
      </c>
      <c r="N20" s="47">
        <f t="shared" si="2"/>
        <v>2.7431303587716629</v>
      </c>
      <c r="O20" s="10">
        <f>[4]Rev_ElecPrices!Y44</f>
        <v>19.883891073955066</v>
      </c>
      <c r="P20" s="10">
        <f>[4]Rev_ElecPrices!Z44</f>
        <v>20.189421458979119</v>
      </c>
      <c r="Q20" s="3">
        <f t="shared" si="3"/>
        <v>1.129218607479477</v>
      </c>
      <c r="R20" s="3">
        <f t="shared" si="4"/>
        <v>1.2409546974764365</v>
      </c>
    </row>
    <row r="21" spans="1:18">
      <c r="A21" s="1">
        <v>46357</v>
      </c>
      <c r="B21" s="10">
        <v>3.7115</v>
      </c>
      <c r="C21" s="10">
        <v>3.6890000000000001</v>
      </c>
      <c r="D21" s="10">
        <v>2.6865000000000001</v>
      </c>
      <c r="E21" s="10">
        <v>4.4390000000000001</v>
      </c>
      <c r="F21" s="10">
        <v>42.04</v>
      </c>
      <c r="G21" s="10">
        <v>43.69</v>
      </c>
      <c r="H21" s="10">
        <f t="shared" si="0"/>
        <v>42.749499999999998</v>
      </c>
      <c r="I21" s="10"/>
      <c r="J21" s="1">
        <v>47088</v>
      </c>
      <c r="K21" s="7">
        <v>2.3824999999999998</v>
      </c>
      <c r="L21" s="47">
        <f t="shared" si="1"/>
        <v>2.5227845927379784</v>
      </c>
      <c r="M21" s="7">
        <v>2.5849999999999995</v>
      </c>
      <c r="N21" s="47">
        <f t="shared" si="2"/>
        <v>2.8369636285574096</v>
      </c>
      <c r="O21" s="10">
        <f>[4]Rev_ElecPrices!Y45</f>
        <v>23.987189605760168</v>
      </c>
      <c r="P21" s="10">
        <f>[4]Rev_ElecPrices!Z45</f>
        <v>23.284477072041877</v>
      </c>
      <c r="Q21" s="3">
        <f t="shared" si="3"/>
        <v>1.0588812561334642</v>
      </c>
      <c r="R21" s="3">
        <f t="shared" si="4"/>
        <v>1.1907507360157019</v>
      </c>
    </row>
    <row r="22" spans="1:18">
      <c r="A22" s="1">
        <v>46388</v>
      </c>
      <c r="B22" s="10">
        <v>4.33</v>
      </c>
      <c r="C22" s="10">
        <v>4.165</v>
      </c>
      <c r="D22" s="10">
        <v>3.3975</v>
      </c>
      <c r="E22" s="10">
        <v>4.875</v>
      </c>
      <c r="F22" s="10">
        <v>51.22</v>
      </c>
      <c r="G22" s="10">
        <v>54.9</v>
      </c>
      <c r="H22" s="10">
        <f t="shared" si="0"/>
        <v>52.802399999999992</v>
      </c>
      <c r="I22" s="10"/>
      <c r="J22" s="1">
        <v>47119</v>
      </c>
      <c r="K22" s="7">
        <v>2.6829999999999998</v>
      </c>
      <c r="L22" s="47">
        <f t="shared" si="1"/>
        <v>2.7107139284549309</v>
      </c>
      <c r="M22" s="7">
        <v>2.9110967741935485</v>
      </c>
      <c r="N22" s="47">
        <f t="shared" si="2"/>
        <v>3.1264228552788955</v>
      </c>
      <c r="O22" s="10">
        <f>[4]Rev_ElecPrices!Y46</f>
        <v>23.279395415909221</v>
      </c>
      <c r="P22" s="10">
        <f>[4]Rev_ElecPrices!Z46</f>
        <v>22.913008673260038</v>
      </c>
      <c r="Q22" s="3">
        <f t="shared" ref="Q22:R22" si="5">Q10</f>
        <v>1.0103294552571491</v>
      </c>
      <c r="R22" s="3">
        <f t="shared" si="5"/>
        <v>1.1652712841143853</v>
      </c>
    </row>
    <row r="23" spans="1:18">
      <c r="A23" s="1">
        <v>46419</v>
      </c>
      <c r="B23" s="10">
        <v>3.9765000000000001</v>
      </c>
      <c r="C23" s="10">
        <v>3.7839999999999998</v>
      </c>
      <c r="D23" s="10">
        <v>3.0015000000000001</v>
      </c>
      <c r="E23" s="10">
        <v>4.4939999999999998</v>
      </c>
      <c r="F23" s="10">
        <v>41.17</v>
      </c>
      <c r="G23" s="10">
        <v>47.84</v>
      </c>
      <c r="H23" s="10">
        <f t="shared" si="0"/>
        <v>44.0381</v>
      </c>
      <c r="I23" s="10"/>
      <c r="J23" s="1">
        <v>47150</v>
      </c>
      <c r="K23" s="7">
        <v>2.6030000000000002</v>
      </c>
      <c r="L23" s="47">
        <f t="shared" si="1"/>
        <v>2.5650819251835455</v>
      </c>
      <c r="M23" s="7">
        <v>2.8242500000000001</v>
      </c>
      <c r="N23" s="47">
        <f t="shared" si="2"/>
        <v>2.9563964572893608</v>
      </c>
      <c r="O23" s="10">
        <f>[4]Rev_ElecPrices!Y47</f>
        <v>19.448695064121104</v>
      </c>
      <c r="P23" s="10">
        <f>[4]Rev_ElecPrices!Z47</f>
        <v>22.050652671338899</v>
      </c>
      <c r="Q23" s="3">
        <f t="shared" ref="Q23:R23" si="6">Q11</f>
        <v>0.98543293322456593</v>
      </c>
      <c r="R23" s="3">
        <f t="shared" si="6"/>
        <v>1.1357650623470459</v>
      </c>
    </row>
    <row r="24" spans="1:18">
      <c r="A24" s="1">
        <v>46447</v>
      </c>
      <c r="B24" s="10">
        <v>2.35</v>
      </c>
      <c r="C24" s="10">
        <v>2.9750000000000001</v>
      </c>
      <c r="D24" s="10">
        <v>1.5625</v>
      </c>
      <c r="E24" s="10">
        <v>2.6924999999999999</v>
      </c>
      <c r="F24" s="10">
        <v>25.13</v>
      </c>
      <c r="G24" s="10">
        <v>34.770000000000003</v>
      </c>
      <c r="H24" s="10">
        <f t="shared" si="0"/>
        <v>29.275199999999998</v>
      </c>
      <c r="I24" s="10"/>
      <c r="J24" s="1">
        <v>47178</v>
      </c>
      <c r="K24" s="7">
        <v>2.4954999999999998</v>
      </c>
      <c r="L24" s="47">
        <f t="shared" si="1"/>
        <v>2.6839936147017598</v>
      </c>
      <c r="M24" s="7">
        <v>2.7076451612903232</v>
      </c>
      <c r="N24" s="47">
        <f t="shared" si="2"/>
        <v>3.0668105435290447</v>
      </c>
      <c r="O24" s="10">
        <f>[4]Rev_ElecPrices!Y48</f>
        <v>13.974368138293055</v>
      </c>
      <c r="P24" s="10">
        <f>[4]Rev_ElecPrices!Z48</f>
        <v>21.958020734002091</v>
      </c>
      <c r="Q24" s="3">
        <f t="shared" ref="Q24:R24" si="7">Q12</f>
        <v>1.0755334060115247</v>
      </c>
      <c r="R24" s="3">
        <f t="shared" si="7"/>
        <v>1.2289363027565798</v>
      </c>
    </row>
    <row r="25" spans="1:18">
      <c r="A25" s="1">
        <v>46478</v>
      </c>
      <c r="B25" s="10">
        <v>1.857</v>
      </c>
      <c r="C25" s="10">
        <v>2.8319999999999999</v>
      </c>
      <c r="D25" s="10">
        <v>1.4744999999999999</v>
      </c>
      <c r="E25" s="10">
        <v>2.1669999999999998</v>
      </c>
      <c r="F25" s="10">
        <v>26.11</v>
      </c>
      <c r="G25" s="10">
        <v>29.99</v>
      </c>
      <c r="H25" s="10">
        <f t="shared" si="0"/>
        <v>27.778399999999998</v>
      </c>
      <c r="I25" s="10"/>
      <c r="J25" s="1">
        <v>47209</v>
      </c>
      <c r="K25" s="7">
        <v>2.0405000000000002</v>
      </c>
      <c r="L25" s="47">
        <f t="shared" si="1"/>
        <v>2.9151350787766455</v>
      </c>
      <c r="M25" s="7">
        <v>2.2139333333333329</v>
      </c>
      <c r="N25" s="47">
        <f t="shared" si="2"/>
        <v>2.636197405004634</v>
      </c>
      <c r="O25" s="10">
        <f>[4]Rev_ElecPrices!Y49</f>
        <v>11.823615254719995</v>
      </c>
      <c r="P25" s="10">
        <f>[4]Rev_ElecPrices!Z49</f>
        <v>20.331145729190883</v>
      </c>
      <c r="Q25" s="3">
        <f t="shared" ref="Q25:R25" si="8">Q13</f>
        <v>1.4286376274328083</v>
      </c>
      <c r="R25" s="3">
        <f t="shared" si="8"/>
        <v>1.2919369786839665</v>
      </c>
    </row>
    <row r="26" spans="1:18">
      <c r="A26" s="1">
        <v>46508</v>
      </c>
      <c r="B26" s="10">
        <v>1.8565</v>
      </c>
      <c r="C26" s="10">
        <v>2.8340000000000001</v>
      </c>
      <c r="D26" s="10">
        <v>1.5814999999999999</v>
      </c>
      <c r="E26" s="10">
        <v>2.0815000000000001</v>
      </c>
      <c r="F26" s="10">
        <v>21.99</v>
      </c>
      <c r="G26" s="10">
        <v>30.64</v>
      </c>
      <c r="H26" s="10">
        <f t="shared" si="0"/>
        <v>25.709499999999998</v>
      </c>
      <c r="I26" s="10"/>
      <c r="J26" s="1">
        <v>47239</v>
      </c>
      <c r="K26" s="7">
        <v>2.0110000000000001</v>
      </c>
      <c r="L26" s="47">
        <f t="shared" si="1"/>
        <v>2.9047248163071822</v>
      </c>
      <c r="M26" s="7">
        <v>2.1819032258064519</v>
      </c>
      <c r="N26" s="47">
        <f t="shared" si="2"/>
        <v>2.6163496089120644</v>
      </c>
      <c r="O26" s="10">
        <f>[4]Rev_ElecPrices!Y50</f>
        <v>14.594404639979139</v>
      </c>
      <c r="P26" s="10">
        <f>[4]Rev_ElecPrices!Z50</f>
        <v>19.790973173961365</v>
      </c>
      <c r="Q26" s="3">
        <f t="shared" ref="Q26:R26" si="9">Q14</f>
        <v>1.44441810855653</v>
      </c>
      <c r="R26" s="3">
        <f t="shared" si="9"/>
        <v>1.3010191988622894</v>
      </c>
    </row>
    <row r="27" spans="1:18">
      <c r="A27" s="1">
        <v>46539</v>
      </c>
      <c r="B27" s="10">
        <v>2.0099999999999998</v>
      </c>
      <c r="C27" s="10">
        <v>2.97</v>
      </c>
      <c r="D27" s="10">
        <v>1.6875</v>
      </c>
      <c r="E27" s="10">
        <v>2.3325</v>
      </c>
      <c r="F27" s="10">
        <v>35.36</v>
      </c>
      <c r="G27" s="10">
        <v>40</v>
      </c>
      <c r="H27" s="10">
        <f t="shared" si="0"/>
        <v>37.355199999999996</v>
      </c>
      <c r="I27" s="10"/>
      <c r="J27" s="1">
        <v>47270</v>
      </c>
      <c r="K27" s="7">
        <v>2.056</v>
      </c>
      <c r="L27" s="47">
        <f t="shared" si="1"/>
        <v>2.9006492985971946</v>
      </c>
      <c r="M27" s="7">
        <v>2.2307666666666663</v>
      </c>
      <c r="N27" s="47">
        <f t="shared" si="2"/>
        <v>2.6442787797817862</v>
      </c>
      <c r="O27" s="10">
        <f>[4]Rev_ElecPrices!Y51</f>
        <v>17.669127085604103</v>
      </c>
      <c r="P27" s="10">
        <f>[4]Rev_ElecPrices!Z51</f>
        <v>19.355464465492787</v>
      </c>
      <c r="Q27" s="3">
        <f t="shared" ref="Q27:R27" si="10">Q15</f>
        <v>1.4108216432865732</v>
      </c>
      <c r="R27" s="3">
        <f t="shared" si="10"/>
        <v>1.2861278111779115</v>
      </c>
    </row>
    <row r="28" spans="1:18">
      <c r="A28" s="1">
        <v>46569</v>
      </c>
      <c r="B28" s="10">
        <v>2.6315</v>
      </c>
      <c r="C28" s="10">
        <v>3.1739999999999999</v>
      </c>
      <c r="D28" s="10">
        <v>2.024</v>
      </c>
      <c r="E28" s="10">
        <v>3.9714999999999998</v>
      </c>
      <c r="F28" s="10">
        <v>65.069999999999993</v>
      </c>
      <c r="G28" s="10">
        <v>61.15</v>
      </c>
      <c r="H28" s="10">
        <f t="shared" si="0"/>
        <v>63.384399999999992</v>
      </c>
      <c r="I28" s="10"/>
      <c r="J28" s="1">
        <v>47300</v>
      </c>
      <c r="K28" s="7">
        <v>2.1459999999999999</v>
      </c>
      <c r="L28" s="47">
        <f t="shared" si="1"/>
        <v>2.4959516824849008</v>
      </c>
      <c r="M28" s="7">
        <v>2.3283548387096773</v>
      </c>
      <c r="N28" s="47">
        <f t="shared" si="2"/>
        <v>2.7681363244176014</v>
      </c>
      <c r="O28" s="10">
        <f>[4]Rev_ElecPrices!Y52</f>
        <v>25.806511299550046</v>
      </c>
      <c r="P28" s="10">
        <f>[4]Rev_ElecPrices!Z52</f>
        <v>22.180177010896632</v>
      </c>
      <c r="Q28" s="3">
        <f t="shared" ref="Q28:R28" si="11">Q16</f>
        <v>1.1630716134598793</v>
      </c>
      <c r="R28" s="3">
        <f t="shared" si="11"/>
        <v>1.2899050905953409</v>
      </c>
    </row>
    <row r="29" spans="1:18">
      <c r="A29" s="1">
        <v>46600</v>
      </c>
      <c r="B29" s="10">
        <v>2.7065000000000001</v>
      </c>
      <c r="C29" s="10">
        <v>3.2389999999999999</v>
      </c>
      <c r="D29" s="10">
        <v>2.0790000000000002</v>
      </c>
      <c r="E29" s="10">
        <v>4.0640000000000001</v>
      </c>
      <c r="F29" s="10">
        <v>75.34</v>
      </c>
      <c r="G29" s="10">
        <v>61.04</v>
      </c>
      <c r="H29" s="10">
        <f t="shared" si="0"/>
        <v>69.191000000000003</v>
      </c>
      <c r="I29" s="10"/>
      <c r="J29" s="1">
        <v>47331</v>
      </c>
      <c r="K29" s="7">
        <v>2.1735000000000002</v>
      </c>
      <c r="L29" s="47">
        <f t="shared" si="1"/>
        <v>2.5107040472175379</v>
      </c>
      <c r="M29" s="7">
        <v>2.358096774193549</v>
      </c>
      <c r="N29" s="47">
        <f t="shared" si="2"/>
        <v>2.7910965430016867</v>
      </c>
      <c r="O29" s="10">
        <f>[4]Rev_ElecPrices!Y53</f>
        <v>29.62880769605799</v>
      </c>
      <c r="P29" s="10">
        <f>[4]Rev_ElecPrices!Z53</f>
        <v>22.697431681188018</v>
      </c>
      <c r="Q29" s="3">
        <f t="shared" ref="Q29:R29" si="12">Q17</f>
        <v>1.1551433389544687</v>
      </c>
      <c r="R29" s="3">
        <f t="shared" si="12"/>
        <v>1.2841483979763912</v>
      </c>
    </row>
    <row r="30" spans="1:18">
      <c r="A30" s="1">
        <v>46631</v>
      </c>
      <c r="B30" s="10">
        <v>2.6185</v>
      </c>
      <c r="C30" s="10">
        <v>3.2160000000000002</v>
      </c>
      <c r="D30" s="10">
        <v>1.5785</v>
      </c>
      <c r="E30" s="10">
        <v>3.8759999999999999</v>
      </c>
      <c r="F30" s="10">
        <v>60.42</v>
      </c>
      <c r="G30" s="10">
        <v>57.16</v>
      </c>
      <c r="H30" s="10">
        <f t="shared" si="0"/>
        <v>59.018199999999993</v>
      </c>
      <c r="I30" s="10"/>
      <c r="J30" s="1">
        <v>47362</v>
      </c>
      <c r="K30" s="7">
        <v>2.1684999999999999</v>
      </c>
      <c r="L30" s="47">
        <f t="shared" si="1"/>
        <v>2.5281862175102598</v>
      </c>
      <c r="M30" s="7">
        <v>2.3528333333333338</v>
      </c>
      <c r="N30" s="47">
        <f t="shared" si="2"/>
        <v>2.7376941689466485</v>
      </c>
      <c r="O30" s="10">
        <f>[4]Rev_ElecPrices!Y54</f>
        <v>28.017266631973133</v>
      </c>
      <c r="P30" s="10">
        <f>[4]Rev_ElecPrices!Z54</f>
        <v>21.930092615273185</v>
      </c>
      <c r="Q30" s="3">
        <f t="shared" ref="Q30:R30" si="13">Q18</f>
        <v>1.1658686730506156</v>
      </c>
      <c r="R30" s="3">
        <f t="shared" si="13"/>
        <v>1.262482900136799</v>
      </c>
    </row>
    <row r="31" spans="1:18">
      <c r="A31" s="1">
        <v>46661</v>
      </c>
      <c r="B31" s="10">
        <v>2.5150000000000001</v>
      </c>
      <c r="C31" s="10">
        <v>3.29</v>
      </c>
      <c r="D31" s="10">
        <v>1.4975000000000001</v>
      </c>
      <c r="E31" s="10">
        <v>3.2650000000000001</v>
      </c>
      <c r="F31" s="10">
        <v>45</v>
      </c>
      <c r="G31" s="10">
        <v>49.12</v>
      </c>
      <c r="H31" s="10">
        <f t="shared" si="0"/>
        <v>46.771599999999992</v>
      </c>
      <c r="I31" s="10"/>
      <c r="J31" s="1">
        <v>47392</v>
      </c>
      <c r="K31" s="7">
        <v>2.1659999999999999</v>
      </c>
      <c r="L31" s="47">
        <f t="shared" si="1"/>
        <v>2.5370648303661407</v>
      </c>
      <c r="M31" s="7">
        <v>2.3501612903225806</v>
      </c>
      <c r="N31" s="47">
        <f t="shared" si="2"/>
        <v>2.3187914007389989</v>
      </c>
      <c r="O31" s="10">
        <f>[4]Rev_ElecPrices!Y55</f>
        <v>23.130752282396266</v>
      </c>
      <c r="P31" s="10">
        <f>[4]Rev_ElecPrices!Z55</f>
        <v>20.984723069521586</v>
      </c>
      <c r="Q31" s="3">
        <f t="shared" ref="Q31:R31" si="14">Q19</f>
        <v>1.1713134027544509</v>
      </c>
      <c r="R31" s="3">
        <f t="shared" si="14"/>
        <v>1.0705408128988916</v>
      </c>
    </row>
    <row r="32" spans="1:18">
      <c r="A32" s="1">
        <v>46692</v>
      </c>
      <c r="B32" s="10">
        <v>3.008</v>
      </c>
      <c r="C32" s="10">
        <v>3.528</v>
      </c>
      <c r="D32" s="10">
        <v>1.9430000000000001</v>
      </c>
      <c r="E32" s="10">
        <v>3.9504999999999999</v>
      </c>
      <c r="F32" s="10">
        <v>44.65</v>
      </c>
      <c r="G32" s="10">
        <v>49.28</v>
      </c>
      <c r="H32" s="10">
        <f t="shared" si="0"/>
        <v>46.640900000000002</v>
      </c>
      <c r="I32" s="10"/>
      <c r="J32" s="1">
        <v>47423</v>
      </c>
      <c r="K32" s="7">
        <v>2.2755000000000001</v>
      </c>
      <c r="L32" s="47">
        <f t="shared" si="1"/>
        <v>2.5695369413195501</v>
      </c>
      <c r="M32" s="7">
        <v>2.4688000000000003</v>
      </c>
      <c r="N32" s="47">
        <f t="shared" si="2"/>
        <v>2.8237924141076314</v>
      </c>
      <c r="O32" s="10">
        <f>[4]Rev_ElecPrices!Y56</f>
        <v>19.616491587840489</v>
      </c>
      <c r="P32" s="10">
        <f>[4]Rev_ElecPrices!Z56</f>
        <v>20.798347595225369</v>
      </c>
      <c r="Q32" s="3">
        <f t="shared" ref="Q32:R32" si="15">Q20</f>
        <v>1.129218607479477</v>
      </c>
      <c r="R32" s="3">
        <f t="shared" si="15"/>
        <v>1.2409546974764365</v>
      </c>
    </row>
    <row r="33" spans="1:18">
      <c r="A33" s="1">
        <v>46722</v>
      </c>
      <c r="B33" s="10">
        <v>4.3070000000000004</v>
      </c>
      <c r="C33" s="10">
        <v>4.1870000000000003</v>
      </c>
      <c r="D33" s="10">
        <v>2.6945000000000001</v>
      </c>
      <c r="E33" s="10">
        <v>5.3494999999999999</v>
      </c>
      <c r="F33" s="10">
        <v>52.92</v>
      </c>
      <c r="G33" s="10">
        <v>59.07</v>
      </c>
      <c r="H33" s="10">
        <f t="shared" si="0"/>
        <v>55.564499999999995</v>
      </c>
      <c r="I33" s="10"/>
      <c r="J33" s="1">
        <v>47453</v>
      </c>
      <c r="K33" s="7">
        <v>2.4430000000000001</v>
      </c>
      <c r="L33" s="47">
        <f t="shared" si="1"/>
        <v>2.5868469087340529</v>
      </c>
      <c r="M33" s="7">
        <v>2.6505806451612899</v>
      </c>
      <c r="N33" s="47">
        <f t="shared" si="2"/>
        <v>2.9090040480863597</v>
      </c>
      <c r="O33" s="10">
        <f>[4]Rev_ElecPrices!Y57</f>
        <v>24.638828382996895</v>
      </c>
      <c r="P33" s="10">
        <f>[4]Rev_ElecPrices!Z57</f>
        <v>24.779849322719471</v>
      </c>
      <c r="Q33" s="3">
        <f t="shared" ref="Q33:R33" si="16">Q21</f>
        <v>1.0588812561334642</v>
      </c>
      <c r="R33" s="3">
        <f t="shared" si="16"/>
        <v>1.1907507360157019</v>
      </c>
    </row>
    <row r="34" spans="1:18">
      <c r="A34" s="1">
        <v>46753</v>
      </c>
      <c r="B34" s="10">
        <v>4.907</v>
      </c>
      <c r="C34" s="10">
        <v>4.6420000000000003</v>
      </c>
      <c r="D34" s="10">
        <v>3.1295000000000002</v>
      </c>
      <c r="E34" s="10">
        <v>5.7770000000000001</v>
      </c>
      <c r="F34" s="10">
        <v>60.54</v>
      </c>
      <c r="G34" s="10">
        <v>71.88</v>
      </c>
      <c r="H34" s="10">
        <f t="shared" si="0"/>
        <v>65.416199999999989</v>
      </c>
      <c r="I34" s="10"/>
      <c r="J34" s="1">
        <v>47484</v>
      </c>
      <c r="K34" s="7">
        <v>2.7330000000000001</v>
      </c>
      <c r="L34" s="47">
        <f t="shared" si="1"/>
        <v>2.7612304012177886</v>
      </c>
      <c r="M34" s="7">
        <v>2.9653225806451609</v>
      </c>
      <c r="N34" s="47">
        <f t="shared" si="2"/>
        <v>3.1846864194846152</v>
      </c>
      <c r="O34" s="10">
        <f>[4]Rev_ElecPrices!Y58</f>
        <v>23.064416513995148</v>
      </c>
      <c r="P34" s="10">
        <f>[4]Rev_ElecPrices!Z58</f>
        <v>23.422226562680496</v>
      </c>
      <c r="Q34" s="3">
        <f t="shared" ref="Q34:R34" si="17">Q22</f>
        <v>1.0103294552571491</v>
      </c>
      <c r="R34" s="3">
        <f t="shared" si="17"/>
        <v>1.1652712841143853</v>
      </c>
    </row>
    <row r="35" spans="1:18">
      <c r="A35" s="1">
        <v>46784</v>
      </c>
      <c r="B35" s="10">
        <v>4.3274999999999997</v>
      </c>
      <c r="C35" s="10">
        <v>4.2149999999999999</v>
      </c>
      <c r="D35" s="10">
        <v>2.6475</v>
      </c>
      <c r="E35" s="10">
        <v>5.2424999999999997</v>
      </c>
      <c r="F35" s="10">
        <v>54.14</v>
      </c>
      <c r="G35" s="10">
        <v>61.23</v>
      </c>
      <c r="H35" s="10">
        <f t="shared" si="0"/>
        <v>57.188699999999997</v>
      </c>
      <c r="I35" s="10"/>
      <c r="J35" s="1">
        <v>47515</v>
      </c>
      <c r="K35" s="7">
        <v>2.6629999999999998</v>
      </c>
      <c r="L35" s="47">
        <f t="shared" si="1"/>
        <v>2.624207901177019</v>
      </c>
      <c r="M35" s="7">
        <v>2.889392857142858</v>
      </c>
      <c r="N35" s="47">
        <f t="shared" si="2"/>
        <v>3.0245423610301829</v>
      </c>
      <c r="O35" s="10">
        <f>[4]Rev_ElecPrices!Y59</f>
        <v>19.541957920017587</v>
      </c>
      <c r="P35" s="10">
        <f>[4]Rev_ElecPrices!Z59</f>
        <v>22.724063516582152</v>
      </c>
      <c r="Q35" s="3">
        <f t="shared" ref="Q35:R35" si="18">Q23</f>
        <v>0.98543293322456593</v>
      </c>
      <c r="R35" s="3">
        <f t="shared" si="18"/>
        <v>1.1357650623470459</v>
      </c>
    </row>
    <row r="36" spans="1:18">
      <c r="A36" s="1">
        <v>46813</v>
      </c>
      <c r="B36" s="10">
        <v>2.8935</v>
      </c>
      <c r="C36" s="10">
        <v>3.4260000000000002</v>
      </c>
      <c r="D36" s="10">
        <v>1.0509999999999999</v>
      </c>
      <c r="E36" s="10">
        <v>3.5585</v>
      </c>
      <c r="F36" s="10">
        <v>31.41</v>
      </c>
      <c r="G36" s="10">
        <v>42.33</v>
      </c>
      <c r="H36" s="10">
        <f t="shared" si="0"/>
        <v>36.105599999999995</v>
      </c>
      <c r="I36" s="10"/>
      <c r="J36" s="1">
        <v>47543</v>
      </c>
      <c r="K36" s="7">
        <v>2.5779999999999998</v>
      </c>
      <c r="L36" s="47">
        <f t="shared" si="1"/>
        <v>2.7727251206977104</v>
      </c>
      <c r="M36" s="7">
        <v>2.7971612903225811</v>
      </c>
      <c r="N36" s="47">
        <f t="shared" si="2"/>
        <v>3.1681977885064625</v>
      </c>
      <c r="O36" s="10">
        <f>[4]Rev_ElecPrices!Y60</f>
        <v>13.550506783684261</v>
      </c>
      <c r="P36" s="10">
        <f>[4]Rev_ElecPrices!Z60</f>
        <v>22.925693069082133</v>
      </c>
      <c r="Q36" s="3">
        <f t="shared" ref="Q36:R36" si="19">Q24</f>
        <v>1.0755334060115247</v>
      </c>
      <c r="R36" s="3">
        <f t="shared" si="19"/>
        <v>1.2289363027565798</v>
      </c>
    </row>
    <row r="37" spans="1:18">
      <c r="A37" s="1">
        <v>46844</v>
      </c>
      <c r="B37" s="10">
        <v>2.4664999999999999</v>
      </c>
      <c r="C37" s="10">
        <v>3.1539999999999999</v>
      </c>
      <c r="D37" s="10">
        <v>1.1515</v>
      </c>
      <c r="E37" s="10">
        <v>2.9390000000000001</v>
      </c>
      <c r="F37" s="10">
        <v>23.99</v>
      </c>
      <c r="G37" s="10">
        <v>40.01</v>
      </c>
      <c r="H37" s="10">
        <f t="shared" si="0"/>
        <v>30.878599999999999</v>
      </c>
      <c r="I37" s="10"/>
      <c r="J37" s="1">
        <v>47574</v>
      </c>
      <c r="K37" s="7">
        <v>2.0880000000000001</v>
      </c>
      <c r="L37" s="47">
        <f t="shared" si="1"/>
        <v>2.9829953660797037</v>
      </c>
      <c r="M37" s="7">
        <v>2.2653333333333334</v>
      </c>
      <c r="N37" s="47">
        <f t="shared" si="2"/>
        <v>2.697564411492122</v>
      </c>
      <c r="O37" s="10">
        <f>[4]Rev_ElecPrices!Y61</f>
        <v>11.845620314597037</v>
      </c>
      <c r="P37" s="10">
        <f>[4]Rev_ElecPrices!Z61</f>
        <v>20.899811500387077</v>
      </c>
      <c r="Q37" s="3">
        <f t="shared" ref="Q37:R37" si="20">Q25</f>
        <v>1.4286376274328083</v>
      </c>
      <c r="R37" s="3">
        <f t="shared" si="20"/>
        <v>1.2919369786839665</v>
      </c>
    </row>
    <row r="38" spans="1:18">
      <c r="A38" s="1">
        <v>46874</v>
      </c>
      <c r="B38" s="10">
        <v>2.2770000000000001</v>
      </c>
      <c r="C38" s="10">
        <v>3.1320000000000001</v>
      </c>
      <c r="D38" s="10">
        <v>1.2044999999999999</v>
      </c>
      <c r="E38" s="10">
        <v>2.907</v>
      </c>
      <c r="F38" s="10">
        <v>23.79</v>
      </c>
      <c r="G38" s="10">
        <v>42.34</v>
      </c>
      <c r="H38" s="10">
        <f t="shared" si="0"/>
        <v>31.766500000000001</v>
      </c>
      <c r="I38" s="10"/>
      <c r="J38" s="1">
        <v>47604</v>
      </c>
      <c r="K38" s="7">
        <v>2.0585</v>
      </c>
      <c r="L38" s="47">
        <f t="shared" si="1"/>
        <v>2.973334676463617</v>
      </c>
      <c r="M38" s="7">
        <v>2.2333870967741936</v>
      </c>
      <c r="N38" s="47">
        <f t="shared" si="2"/>
        <v>2.6781480208580226</v>
      </c>
      <c r="O38" s="10">
        <f>[4]Rev_ElecPrices!Y62</f>
        <v>14.402863406995168</v>
      </c>
      <c r="P38" s="10">
        <f>[4]Rev_ElecPrices!Z62</f>
        <v>20.569440475687404</v>
      </c>
      <c r="Q38" s="3">
        <f t="shared" ref="Q38:R38" si="21">Q26</f>
        <v>1.44441810855653</v>
      </c>
      <c r="R38" s="3">
        <f t="shared" si="21"/>
        <v>1.3010191988622894</v>
      </c>
    </row>
    <row r="39" spans="1:18">
      <c r="A39" s="1">
        <v>46905</v>
      </c>
      <c r="B39" s="10">
        <v>2.4765000000000001</v>
      </c>
      <c r="C39" s="10">
        <v>3.2639999999999998</v>
      </c>
      <c r="D39" s="10">
        <v>1.6339999999999999</v>
      </c>
      <c r="E39" s="10">
        <v>3.149</v>
      </c>
      <c r="F39" s="10">
        <v>46.45</v>
      </c>
      <c r="G39" s="10">
        <v>50.49</v>
      </c>
      <c r="H39" s="10">
        <f t="shared" si="0"/>
        <v>48.187199999999997</v>
      </c>
      <c r="I39" s="10"/>
      <c r="J39" s="1">
        <v>47635</v>
      </c>
      <c r="K39" s="7">
        <v>2.1034999999999999</v>
      </c>
      <c r="L39" s="47">
        <f t="shared" si="1"/>
        <v>2.9676633266533066</v>
      </c>
      <c r="M39" s="7">
        <v>2.2823333333333333</v>
      </c>
      <c r="N39" s="47">
        <f t="shared" si="2"/>
        <v>2.7053698508127368</v>
      </c>
      <c r="O39" s="10">
        <f>[4]Rev_ElecPrices!Y63</f>
        <v>16.904395070696406</v>
      </c>
      <c r="P39" s="10">
        <f>[4]Rev_ElecPrices!Z63</f>
        <v>20.179364972893556</v>
      </c>
      <c r="Q39" s="3">
        <f t="shared" ref="Q39:R39" si="22">Q27</f>
        <v>1.4108216432865732</v>
      </c>
      <c r="R39" s="3">
        <f t="shared" si="22"/>
        <v>1.2861278111779115</v>
      </c>
    </row>
    <row r="40" spans="1:18">
      <c r="A40" s="1">
        <v>46935</v>
      </c>
      <c r="B40" s="10">
        <v>2.952</v>
      </c>
      <c r="C40" s="10">
        <v>3.472</v>
      </c>
      <c r="D40" s="10">
        <v>2.1595</v>
      </c>
      <c r="E40" s="10">
        <v>4.3869999999999996</v>
      </c>
      <c r="F40" s="10">
        <v>84.52</v>
      </c>
      <c r="G40" s="10">
        <v>68.28</v>
      </c>
      <c r="H40" s="10">
        <f t="shared" si="0"/>
        <v>77.536799999999999</v>
      </c>
      <c r="I40" s="10"/>
      <c r="J40" s="1">
        <v>47665</v>
      </c>
      <c r="K40" s="7">
        <v>2.1909999999999998</v>
      </c>
      <c r="L40" s="47">
        <f t="shared" si="1"/>
        <v>2.5482899050905954</v>
      </c>
      <c r="M40" s="7">
        <v>2.3772258064516132</v>
      </c>
      <c r="N40" s="47">
        <f t="shared" si="2"/>
        <v>2.8261820534943918</v>
      </c>
      <c r="O40" s="10">
        <f>[4]Rev_ElecPrices!Y64</f>
        <v>26.033047455975801</v>
      </c>
      <c r="P40" s="10">
        <f>[4]Rev_ElecPrices!Z64</f>
        <v>22.73695635846024</v>
      </c>
      <c r="Q40" s="3">
        <f t="shared" ref="Q40:R40" si="23">Q28</f>
        <v>1.1630716134598793</v>
      </c>
      <c r="R40" s="3">
        <f t="shared" si="23"/>
        <v>1.2899050905953409</v>
      </c>
    </row>
    <row r="41" spans="1:18">
      <c r="A41" s="1">
        <v>46966</v>
      </c>
      <c r="B41" s="10">
        <v>3.2130000000000001</v>
      </c>
      <c r="C41" s="10">
        <v>3.5430000000000001</v>
      </c>
      <c r="D41" s="10">
        <v>2.5055000000000001</v>
      </c>
      <c r="E41" s="10">
        <v>4.4729999999999999</v>
      </c>
      <c r="F41" s="10">
        <v>95.29</v>
      </c>
      <c r="G41" s="10">
        <v>74.62</v>
      </c>
      <c r="H41" s="10">
        <f t="shared" si="0"/>
        <v>86.401900000000012</v>
      </c>
      <c r="I41" s="10"/>
      <c r="J41" s="1">
        <v>47696</v>
      </c>
      <c r="K41" s="7">
        <v>2.2435</v>
      </c>
      <c r="L41" s="47">
        <f t="shared" si="1"/>
        <v>2.5915640809443508</v>
      </c>
      <c r="M41" s="7">
        <v>2.4341612903225807</v>
      </c>
      <c r="N41" s="47">
        <f t="shared" si="2"/>
        <v>2.880986930860034</v>
      </c>
      <c r="O41" s="10">
        <f>[4]Rev_ElecPrices!Y65</f>
        <v>29.228092795212454</v>
      </c>
      <c r="P41" s="10">
        <f>[4]Rev_ElecPrices!Z65</f>
        <v>23.442466775829459</v>
      </c>
      <c r="Q41" s="3">
        <f t="shared" ref="Q41:R41" si="24">Q29</f>
        <v>1.1551433389544687</v>
      </c>
      <c r="R41" s="3">
        <f t="shared" si="24"/>
        <v>1.2841483979763912</v>
      </c>
    </row>
    <row r="42" spans="1:18">
      <c r="A42" s="1">
        <v>46997</v>
      </c>
      <c r="B42" s="10">
        <v>2.988</v>
      </c>
      <c r="C42" s="10">
        <v>3.5230000000000001</v>
      </c>
      <c r="D42" s="10">
        <v>2.448</v>
      </c>
      <c r="E42" s="10">
        <v>4.343</v>
      </c>
      <c r="F42" s="10">
        <v>57.63</v>
      </c>
      <c r="G42" s="10">
        <v>70.790000000000006</v>
      </c>
      <c r="H42" s="10">
        <f t="shared" si="0"/>
        <v>63.288800000000002</v>
      </c>
      <c r="I42" s="10"/>
      <c r="J42" s="1">
        <v>47727</v>
      </c>
      <c r="K42" s="7">
        <v>2.2435</v>
      </c>
      <c r="L42" s="47">
        <f t="shared" si="1"/>
        <v>2.6156263679890563</v>
      </c>
      <c r="M42" s="7">
        <v>2.4341666666666666</v>
      </c>
      <c r="N42" s="47">
        <f t="shared" si="2"/>
        <v>2.8323803864569084</v>
      </c>
      <c r="O42" s="10">
        <f>[4]Rev_ElecPrices!Y66</f>
        <v>27.827674574501049</v>
      </c>
      <c r="P42" s="10">
        <f>[4]Rev_ElecPrices!Z66</f>
        <v>22.645453024919629</v>
      </c>
      <c r="Q42" s="3">
        <f t="shared" ref="Q42:R42" si="25">Q30</f>
        <v>1.1658686730506156</v>
      </c>
      <c r="R42" s="3">
        <f t="shared" si="25"/>
        <v>1.262482900136799</v>
      </c>
    </row>
    <row r="43" spans="1:18">
      <c r="A43" s="1">
        <v>47027</v>
      </c>
      <c r="B43" s="10">
        <v>2.8210000000000002</v>
      </c>
      <c r="C43" s="10">
        <v>3.581</v>
      </c>
      <c r="D43" s="10">
        <v>2.4885000000000002</v>
      </c>
      <c r="E43" s="10">
        <v>3.6909999999999998</v>
      </c>
      <c r="F43" s="10">
        <v>45.27</v>
      </c>
      <c r="G43" s="10">
        <v>54.08</v>
      </c>
      <c r="H43" s="10">
        <f t="shared" si="0"/>
        <v>49.058300000000003</v>
      </c>
      <c r="I43" s="10"/>
      <c r="J43" s="1">
        <v>47757</v>
      </c>
      <c r="K43" s="7">
        <v>2.2545000000000002</v>
      </c>
      <c r="L43" s="47">
        <f t="shared" si="1"/>
        <v>2.6407260665099099</v>
      </c>
      <c r="M43" s="7">
        <v>2.4461612903225802</v>
      </c>
      <c r="N43" s="47">
        <f t="shared" si="2"/>
        <v>2.4135342626805514</v>
      </c>
      <c r="O43" s="10">
        <f>[4]Rev_ElecPrices!Y67</f>
        <v>21.937401878831672</v>
      </c>
      <c r="P43" s="10">
        <f>[4]Rev_ElecPrices!Z67</f>
        <v>21.387453149654206</v>
      </c>
      <c r="Q43" s="3">
        <f t="shared" ref="Q43:R43" si="26">Q31</f>
        <v>1.1713134027544509</v>
      </c>
      <c r="R43" s="3">
        <f t="shared" si="26"/>
        <v>1.0705408128988916</v>
      </c>
    </row>
    <row r="44" spans="1:18">
      <c r="A44" s="1">
        <v>47058</v>
      </c>
      <c r="B44" s="10">
        <v>3.2654999999999998</v>
      </c>
      <c r="C44" s="10">
        <v>3.778</v>
      </c>
      <c r="D44" s="10">
        <v>2.7530000000000001</v>
      </c>
      <c r="E44" s="10">
        <v>4.1304999999999996</v>
      </c>
      <c r="F44" s="10">
        <v>47.48</v>
      </c>
      <c r="G44" s="10">
        <v>55.79</v>
      </c>
      <c r="H44" s="10">
        <f t="shared" si="0"/>
        <v>51.053299999999993</v>
      </c>
      <c r="I44" s="10"/>
      <c r="J44" s="1">
        <v>47788</v>
      </c>
      <c r="K44" s="7">
        <v>2.3140000000000001</v>
      </c>
      <c r="L44" s="47">
        <f t="shared" si="1"/>
        <v>2.6130118577075097</v>
      </c>
      <c r="M44" s="7">
        <v>2.5106666666666664</v>
      </c>
      <c r="N44" s="47">
        <f t="shared" si="2"/>
        <v>2.8715691699604742</v>
      </c>
      <c r="O44" s="10">
        <f>[4]Rev_ElecPrices!Y68</f>
        <v>18.758096598816167</v>
      </c>
      <c r="P44" s="10">
        <f>[4]Rev_ElecPrices!Z68</f>
        <v>20.883521936876971</v>
      </c>
      <c r="Q44" s="3">
        <f t="shared" ref="Q44:R44" si="27">Q32</f>
        <v>1.129218607479477</v>
      </c>
      <c r="R44" s="3">
        <f t="shared" si="27"/>
        <v>1.2409546974764365</v>
      </c>
    </row>
    <row r="45" spans="1:18">
      <c r="A45" s="1">
        <v>47088</v>
      </c>
      <c r="B45" s="10">
        <v>4.4275000000000002</v>
      </c>
      <c r="C45" s="10">
        <v>4.3949999999999996</v>
      </c>
      <c r="D45" s="10">
        <v>3.49</v>
      </c>
      <c r="E45" s="10">
        <v>5.67</v>
      </c>
      <c r="F45" s="10">
        <v>66.650000000000006</v>
      </c>
      <c r="G45" s="10">
        <v>77.540000000000006</v>
      </c>
      <c r="H45" s="10">
        <f t="shared" si="0"/>
        <v>71.332700000000003</v>
      </c>
      <c r="I45" s="10"/>
      <c r="J45" s="1">
        <v>47818</v>
      </c>
      <c r="K45" s="7">
        <v>2.484</v>
      </c>
      <c r="L45" s="47">
        <f t="shared" si="1"/>
        <v>2.6302610402355251</v>
      </c>
      <c r="M45" s="7">
        <v>2.6950967741935479</v>
      </c>
      <c r="N45" s="47">
        <f t="shared" si="2"/>
        <v>2.9578248282630035</v>
      </c>
      <c r="O45" s="10">
        <f>[4]Rev_ElecPrices!Y69</f>
        <v>23.933940883984889</v>
      </c>
      <c r="P45" s="10">
        <f>[4]Rev_ElecPrices!Z69</f>
        <v>25.046082635053782</v>
      </c>
      <c r="Q45" s="3">
        <f t="shared" ref="Q45:R45" si="28">Q33</f>
        <v>1.0588812561334642</v>
      </c>
      <c r="R45" s="3">
        <f t="shared" si="28"/>
        <v>1.1907507360157019</v>
      </c>
    </row>
    <row r="46" spans="1:18">
      <c r="A46" s="1">
        <v>47119</v>
      </c>
      <c r="B46" s="10">
        <v>4.9904999999999999</v>
      </c>
      <c r="C46" s="10">
        <v>4.8079999999999998</v>
      </c>
      <c r="D46" s="10">
        <v>4.1980000000000004</v>
      </c>
      <c r="E46" s="10">
        <v>6.0679999999999996</v>
      </c>
      <c r="F46" s="10">
        <v>59.498199999999997</v>
      </c>
      <c r="G46" s="10">
        <v>75.501499999999993</v>
      </c>
      <c r="H46" s="10">
        <f t="shared" si="0"/>
        <v>66.379618999999991</v>
      </c>
      <c r="I46" s="10"/>
      <c r="J46" s="1">
        <v>47849</v>
      </c>
      <c r="K46" s="7">
        <v>2.8340000000000001</v>
      </c>
      <c r="L46" s="47">
        <f t="shared" si="1"/>
        <v>2.8632736761987605</v>
      </c>
      <c r="M46" s="7">
        <v>3.0748709677419352</v>
      </c>
      <c r="N46" s="47">
        <f t="shared" si="2"/>
        <v>3.3023788191801682</v>
      </c>
      <c r="O46" s="10">
        <f>[4]Rev_ElecPrices!Y70</f>
        <v>23.515389512827234</v>
      </c>
      <c r="P46" s="10">
        <f>[4]Rev_ElecPrices!Z70</f>
        <v>23.950830746844552</v>
      </c>
      <c r="Q46" s="3">
        <f t="shared" ref="Q46:R46" si="29">Q34</f>
        <v>1.0103294552571491</v>
      </c>
      <c r="R46" s="3">
        <f t="shared" si="29"/>
        <v>1.1652712841143853</v>
      </c>
    </row>
    <row r="47" spans="1:18">
      <c r="A47" s="1">
        <v>47150</v>
      </c>
      <c r="B47" s="10">
        <v>4.6444999999999999</v>
      </c>
      <c r="C47" s="10">
        <v>4.3769999999999998</v>
      </c>
      <c r="D47" s="10">
        <v>3.7894999999999999</v>
      </c>
      <c r="E47" s="10">
        <v>5.4020000000000001</v>
      </c>
      <c r="F47" s="10">
        <v>50.133800000000001</v>
      </c>
      <c r="G47" s="10">
        <v>65.722499999999997</v>
      </c>
      <c r="H47" s="10">
        <f t="shared" si="0"/>
        <v>56.836940999999996</v>
      </c>
      <c r="I47" s="10"/>
      <c r="J47" s="1">
        <v>47880</v>
      </c>
      <c r="K47" s="7">
        <v>2.7490000000000001</v>
      </c>
      <c r="L47" s="47">
        <f t="shared" si="1"/>
        <v>2.708955133434332</v>
      </c>
      <c r="M47" s="7">
        <v>2.9826071428571432</v>
      </c>
      <c r="N47" s="47">
        <f t="shared" si="2"/>
        <v>3.1222181563920293</v>
      </c>
      <c r="O47" s="10">
        <f>[4]Rev_ElecPrices!Y71</f>
        <v>19.711472582224474</v>
      </c>
      <c r="P47" s="10">
        <f>[4]Rev_ElecPrices!Z71</f>
        <v>23.276819221916657</v>
      </c>
      <c r="Q47" s="3">
        <f t="shared" ref="Q47:R47" si="30">Q35</f>
        <v>0.98543293322456593</v>
      </c>
      <c r="R47" s="3">
        <f t="shared" si="30"/>
        <v>1.1357650623470459</v>
      </c>
    </row>
    <row r="48" spans="1:18">
      <c r="A48" s="1">
        <v>47178</v>
      </c>
      <c r="B48" s="10">
        <v>2.8029999999999999</v>
      </c>
      <c r="C48" s="10">
        <v>3.4780000000000002</v>
      </c>
      <c r="D48" s="10">
        <v>2.4704999999999999</v>
      </c>
      <c r="E48" s="10">
        <v>3.6555</v>
      </c>
      <c r="F48" s="10">
        <v>40.312600000000003</v>
      </c>
      <c r="G48" s="10">
        <v>54.292499999999997</v>
      </c>
      <c r="H48" s="10">
        <f t="shared" si="0"/>
        <v>46.323957</v>
      </c>
      <c r="I48" s="10"/>
      <c r="J48" s="1">
        <v>47908</v>
      </c>
      <c r="K48" s="7">
        <v>2.694</v>
      </c>
      <c r="L48" s="47">
        <f t="shared" si="1"/>
        <v>2.8974869957950475</v>
      </c>
      <c r="M48" s="7">
        <v>2.9230322580645156</v>
      </c>
      <c r="N48" s="47">
        <f t="shared" si="2"/>
        <v>3.3107543996262261</v>
      </c>
      <c r="O48" s="10">
        <f>[4]Rev_ElecPrices!Y72</f>
        <v>13.969931142303233</v>
      </c>
      <c r="P48" s="10">
        <f>[4]Rev_ElecPrices!Z72</f>
        <v>23.666213135612526</v>
      </c>
      <c r="Q48" s="3">
        <f t="shared" ref="Q48:R48" si="31">Q36</f>
        <v>1.0755334060115247</v>
      </c>
      <c r="R48" s="3">
        <f t="shared" si="31"/>
        <v>1.2289363027565798</v>
      </c>
    </row>
    <row r="49" spans="1:18">
      <c r="A49" s="1">
        <v>47209</v>
      </c>
      <c r="B49" s="10">
        <v>2.4205000000000001</v>
      </c>
      <c r="C49" s="10">
        <v>3.1829999999999998</v>
      </c>
      <c r="D49" s="10">
        <v>1.958</v>
      </c>
      <c r="E49" s="10">
        <v>3.0954999999999999</v>
      </c>
      <c r="F49" s="10">
        <v>23.125499999999999</v>
      </c>
      <c r="G49" s="10">
        <v>37.655500000000004</v>
      </c>
      <c r="H49" s="10">
        <f t="shared" si="0"/>
        <v>29.373399999999997</v>
      </c>
      <c r="I49" s="10"/>
      <c r="J49" s="1">
        <v>47939</v>
      </c>
      <c r="K49" s="7">
        <v>2.1970000000000001</v>
      </c>
      <c r="L49" s="47">
        <f t="shared" si="1"/>
        <v>3.13871686746988</v>
      </c>
      <c r="M49" s="7">
        <v>2.3838333333333339</v>
      </c>
      <c r="N49" s="47">
        <f t="shared" si="2"/>
        <v>2.8383855421686746</v>
      </c>
      <c r="O49" s="10">
        <f>[4]Rev_ElecPrices!Y73</f>
        <v>12.231749141157199</v>
      </c>
      <c r="P49" s="10">
        <f>[4]Rev_ElecPrices!Z73</f>
        <v>21.517589720955719</v>
      </c>
      <c r="Q49" s="3">
        <f t="shared" ref="Q49:R49" si="32">Q37</f>
        <v>1.4286376274328083</v>
      </c>
      <c r="R49" s="3">
        <f t="shared" si="32"/>
        <v>1.2919369786839665</v>
      </c>
    </row>
    <row r="50" spans="1:18">
      <c r="A50" s="1">
        <v>47239</v>
      </c>
      <c r="B50" s="10">
        <v>2.2814999999999999</v>
      </c>
      <c r="C50" s="10">
        <v>3.1640000000000001</v>
      </c>
      <c r="D50" s="10">
        <v>2.2589999999999999</v>
      </c>
      <c r="E50" s="10">
        <v>3.0265</v>
      </c>
      <c r="F50" s="10">
        <v>22.497399999999999</v>
      </c>
      <c r="G50" s="10">
        <v>39.3065</v>
      </c>
      <c r="H50" s="10">
        <f t="shared" si="0"/>
        <v>29.725313</v>
      </c>
      <c r="I50" s="10"/>
      <c r="J50" s="1">
        <v>47969</v>
      </c>
      <c r="K50" s="7">
        <v>2.1675</v>
      </c>
      <c r="L50" s="47">
        <f t="shared" si="1"/>
        <v>3.1307762502962788</v>
      </c>
      <c r="M50" s="7">
        <v>2.3518064516129034</v>
      </c>
      <c r="N50" s="47">
        <f t="shared" si="2"/>
        <v>2.8199591135340123</v>
      </c>
      <c r="O50" s="10">
        <f>[4]Rev_ElecPrices!Y74</f>
        <v>14.725972044572925</v>
      </c>
      <c r="P50" s="10">
        <f>[4]Rev_ElecPrices!Z74</f>
        <v>21.380994792769609</v>
      </c>
      <c r="Q50" s="3">
        <f t="shared" ref="Q50:R50" si="33">Q38</f>
        <v>1.44441810855653</v>
      </c>
      <c r="R50" s="3">
        <f t="shared" si="33"/>
        <v>1.3010191988622894</v>
      </c>
    </row>
    <row r="51" spans="1:18">
      <c r="A51" s="1">
        <v>47270</v>
      </c>
      <c r="B51" s="10">
        <v>2.516</v>
      </c>
      <c r="C51" s="10">
        <v>3.2759999999999998</v>
      </c>
      <c r="D51" s="10">
        <v>2.3734999999999999</v>
      </c>
      <c r="E51" s="10">
        <v>3.2385000000000002</v>
      </c>
      <c r="F51" s="10">
        <v>36.829500000000003</v>
      </c>
      <c r="G51" s="10">
        <v>47.0535</v>
      </c>
      <c r="H51" s="10">
        <f t="shared" si="0"/>
        <v>41.225819999999999</v>
      </c>
      <c r="I51" s="10"/>
      <c r="J51" s="1">
        <v>48000</v>
      </c>
      <c r="K51" s="7">
        <v>2.2124999999999999</v>
      </c>
      <c r="L51" s="47">
        <f t="shared" si="1"/>
        <v>3.1214428857715433</v>
      </c>
      <c r="M51" s="7">
        <v>2.4005666666666667</v>
      </c>
      <c r="N51" s="47">
        <f t="shared" si="2"/>
        <v>2.8455577822311291</v>
      </c>
      <c r="O51" s="10">
        <f>[4]Rev_ElecPrices!Y75</f>
        <v>17.417337604334616</v>
      </c>
      <c r="P51" s="10">
        <f>[4]Rev_ElecPrices!Z75</f>
        <v>21.0190811872429</v>
      </c>
      <c r="Q51" s="3">
        <f t="shared" ref="Q51:R51" si="34">Q39</f>
        <v>1.4108216432865732</v>
      </c>
      <c r="R51" s="3">
        <f t="shared" si="34"/>
        <v>1.2861278111779115</v>
      </c>
    </row>
    <row r="52" spans="1:18">
      <c r="A52" s="1">
        <v>47300</v>
      </c>
      <c r="B52" s="10">
        <v>3.0665</v>
      </c>
      <c r="C52" s="10">
        <v>3.4889999999999999</v>
      </c>
      <c r="D52" s="10">
        <v>2.839</v>
      </c>
      <c r="E52" s="10">
        <v>4.3689999999999998</v>
      </c>
      <c r="F52" s="10">
        <v>111.345</v>
      </c>
      <c r="G52" s="10">
        <v>82.105500000000006</v>
      </c>
      <c r="H52" s="10">
        <f t="shared" si="0"/>
        <v>98.772014999999996</v>
      </c>
      <c r="I52" s="10"/>
      <c r="J52" s="1">
        <v>48030</v>
      </c>
      <c r="K52" s="7">
        <v>2.2999999999999998</v>
      </c>
      <c r="L52" s="47">
        <f t="shared" si="1"/>
        <v>2.6750647109577224</v>
      </c>
      <c r="M52" s="7">
        <v>2.4955483870967745</v>
      </c>
      <c r="N52" s="47">
        <f t="shared" si="2"/>
        <v>2.9667817083692838</v>
      </c>
      <c r="O52" s="10">
        <f>[4]Rev_ElecPrices!Y76</f>
        <v>26.662676196538612</v>
      </c>
      <c r="P52" s="10">
        <f>[4]Rev_ElecPrices!Z76</f>
        <v>23.413055597249667</v>
      </c>
      <c r="Q52" s="3">
        <f t="shared" ref="Q52:R52" si="35">Q40</f>
        <v>1.1630716134598793</v>
      </c>
      <c r="R52" s="3">
        <f t="shared" si="35"/>
        <v>1.2899050905953409</v>
      </c>
    </row>
    <row r="53" spans="1:18">
      <c r="A53" s="1">
        <v>47331</v>
      </c>
      <c r="B53" s="10">
        <v>3.1379999999999999</v>
      </c>
      <c r="C53" s="10">
        <v>3.548</v>
      </c>
      <c r="D53" s="10">
        <v>2.9104999999999999</v>
      </c>
      <c r="E53" s="10">
        <v>4.4429999999999996</v>
      </c>
      <c r="F53" s="10">
        <v>112.77249999999999</v>
      </c>
      <c r="G53" s="10">
        <v>86.233000000000004</v>
      </c>
      <c r="H53" s="10">
        <f t="shared" si="0"/>
        <v>101.36051499999999</v>
      </c>
      <c r="I53" s="10"/>
      <c r="J53" s="1">
        <v>48061</v>
      </c>
      <c r="K53" s="7">
        <v>2.3525</v>
      </c>
      <c r="L53" s="47">
        <f t="shared" si="1"/>
        <v>2.7174747048903876</v>
      </c>
      <c r="M53" s="7">
        <v>2.5524193548387095</v>
      </c>
      <c r="N53" s="47">
        <f t="shared" si="2"/>
        <v>3.0209591062394603</v>
      </c>
      <c r="O53" s="10">
        <f>[4]Rev_ElecPrices!Y77</f>
        <v>29.770479173585596</v>
      </c>
      <c r="P53" s="10">
        <f>[4]Rev_ElecPrices!Z77</f>
        <v>24.357099767243625</v>
      </c>
      <c r="Q53" s="3">
        <f t="shared" ref="Q53:R53" si="36">Q41</f>
        <v>1.1551433389544687</v>
      </c>
      <c r="R53" s="3">
        <f t="shared" si="36"/>
        <v>1.2841483979763912</v>
      </c>
    </row>
    <row r="54" spans="1:18">
      <c r="A54" s="1">
        <v>47362</v>
      </c>
      <c r="B54" s="10">
        <v>3.0625</v>
      </c>
      <c r="C54" s="10">
        <v>3.5350000000000001</v>
      </c>
      <c r="D54" s="10">
        <v>2.835</v>
      </c>
      <c r="E54" s="10">
        <v>4.3274999999999997</v>
      </c>
      <c r="F54" s="10">
        <v>79.369</v>
      </c>
      <c r="G54" s="10">
        <v>80.518000000000001</v>
      </c>
      <c r="H54" s="10">
        <f t="shared" si="0"/>
        <v>79.863069999999993</v>
      </c>
      <c r="I54" s="10"/>
      <c r="J54" s="1">
        <v>48092</v>
      </c>
      <c r="K54" s="7">
        <v>2.3525</v>
      </c>
      <c r="L54" s="47">
        <f t="shared" si="1"/>
        <v>2.742706053351573</v>
      </c>
      <c r="M54" s="7">
        <v>2.5524000000000004</v>
      </c>
      <c r="N54" s="47">
        <f t="shared" si="2"/>
        <v>2.9699910225718198</v>
      </c>
      <c r="O54" s="10">
        <f>[4]Rev_ElecPrices!Y78</f>
        <v>28.912510076652548</v>
      </c>
      <c r="P54" s="10">
        <f>[4]Rev_ElecPrices!Z78</f>
        <v>23.262365945945248</v>
      </c>
      <c r="Q54" s="3">
        <f t="shared" ref="Q54:R54" si="37">Q42</f>
        <v>1.1658686730506156</v>
      </c>
      <c r="R54" s="3">
        <f t="shared" si="37"/>
        <v>1.262482900136799</v>
      </c>
    </row>
    <row r="55" spans="1:18">
      <c r="A55" s="1">
        <v>47392</v>
      </c>
      <c r="B55" s="10">
        <v>2.7930000000000001</v>
      </c>
      <c r="C55" s="10">
        <v>3.5979999999999999</v>
      </c>
      <c r="D55" s="10">
        <v>2.8279999999999998</v>
      </c>
      <c r="E55" s="10">
        <v>3.7054999999999998</v>
      </c>
      <c r="F55" s="10">
        <v>45.1661</v>
      </c>
      <c r="G55" s="10">
        <v>61.341000000000001</v>
      </c>
      <c r="H55" s="10">
        <f t="shared" si="0"/>
        <v>52.121307000000002</v>
      </c>
      <c r="I55" s="10"/>
      <c r="J55" s="1">
        <v>48122</v>
      </c>
      <c r="K55" s="7">
        <v>2.3635000000000002</v>
      </c>
      <c r="L55" s="47">
        <f t="shared" si="1"/>
        <v>2.768399227410145</v>
      </c>
      <c r="M55" s="7">
        <v>2.5644193548387104</v>
      </c>
      <c r="N55" s="47">
        <f t="shared" si="2"/>
        <v>2.5302232112865304</v>
      </c>
      <c r="O55" s="10">
        <f>[4]Rev_ElecPrices!Y79</f>
        <v>22.207270976658943</v>
      </c>
      <c r="P55" s="10">
        <f>[4]Rev_ElecPrices!Z79</f>
        <v>22.036593006002985</v>
      </c>
      <c r="Q55" s="3">
        <f t="shared" ref="Q55:R55" si="38">Q43</f>
        <v>1.1713134027544509</v>
      </c>
      <c r="R55" s="3">
        <f t="shared" si="38"/>
        <v>1.0705408128988916</v>
      </c>
    </row>
    <row r="56" spans="1:18">
      <c r="A56" s="1">
        <v>47423</v>
      </c>
      <c r="B56" s="10">
        <v>3.4790000000000001</v>
      </c>
      <c r="C56" s="10">
        <v>3.7639999999999998</v>
      </c>
      <c r="D56" s="10">
        <v>3.0615000000000001</v>
      </c>
      <c r="E56" s="10">
        <v>4.3815</v>
      </c>
      <c r="F56" s="10">
        <v>45.9084</v>
      </c>
      <c r="G56" s="10">
        <v>61.912500000000001</v>
      </c>
      <c r="H56" s="10">
        <f t="shared" si="0"/>
        <v>52.790163</v>
      </c>
      <c r="I56" s="10"/>
      <c r="J56" s="1">
        <v>48153</v>
      </c>
      <c r="K56" s="7">
        <v>2.423</v>
      </c>
      <c r="L56" s="47">
        <f t="shared" si="1"/>
        <v>2.7360966859227727</v>
      </c>
      <c r="M56" s="7">
        <v>2.6289999999999996</v>
      </c>
      <c r="N56" s="47">
        <f t="shared" si="2"/>
        <v>3.0068332319854059</v>
      </c>
      <c r="O56" s="10">
        <f>[4]Rev_ElecPrices!Y80</f>
        <v>18.915929012217372</v>
      </c>
      <c r="P56" s="10">
        <f>[4]Rev_ElecPrices!Z80</f>
        <v>21.603227690967582</v>
      </c>
      <c r="Q56" s="3">
        <f t="shared" ref="Q56:R56" si="39">Q44</f>
        <v>1.129218607479477</v>
      </c>
      <c r="R56" s="3">
        <f t="shared" si="39"/>
        <v>1.2409546974764365</v>
      </c>
    </row>
    <row r="57" spans="1:18">
      <c r="A57" s="1">
        <v>47453</v>
      </c>
      <c r="B57" s="10">
        <v>4.2460000000000004</v>
      </c>
      <c r="C57" s="10">
        <v>4.3460000000000001</v>
      </c>
      <c r="D57" s="10">
        <v>3.7435</v>
      </c>
      <c r="E57" s="10">
        <v>5.3559999999999999</v>
      </c>
      <c r="F57" s="10">
        <v>58.241999999999997</v>
      </c>
      <c r="G57" s="10">
        <v>70.358000000000004</v>
      </c>
      <c r="H57" s="10">
        <f t="shared" si="0"/>
        <v>63.451879999999996</v>
      </c>
      <c r="I57" s="10"/>
      <c r="J57" s="1">
        <v>48183</v>
      </c>
      <c r="K57" s="7">
        <v>2.593</v>
      </c>
      <c r="L57" s="47">
        <f t="shared" si="1"/>
        <v>2.7456790971540728</v>
      </c>
      <c r="M57" s="7">
        <v>2.8133225806451612</v>
      </c>
      <c r="N57" s="47">
        <f t="shared" si="2"/>
        <v>3.0876166584887152</v>
      </c>
      <c r="O57" s="10">
        <f>[4]Rev_ElecPrices!Y81</f>
        <v>24.838600617440836</v>
      </c>
      <c r="P57" s="10">
        <f>[4]Rev_ElecPrices!Z81</f>
        <v>25.652106658163763</v>
      </c>
      <c r="Q57" s="3">
        <f t="shared" ref="Q57:R57" si="40">Q45</f>
        <v>1.0588812561334642</v>
      </c>
      <c r="R57" s="3">
        <f t="shared" si="40"/>
        <v>1.1907507360157019</v>
      </c>
    </row>
    <row r="58" spans="1:18">
      <c r="A58" s="1">
        <v>47484</v>
      </c>
      <c r="B58" s="10">
        <v>4.7634999999999996</v>
      </c>
      <c r="C58" s="10">
        <v>4.7859999999999996</v>
      </c>
      <c r="D58" s="10">
        <v>4.0534999999999997</v>
      </c>
      <c r="E58" s="10">
        <v>5.6334999999999997</v>
      </c>
      <c r="F58" s="10">
        <v>60.1755</v>
      </c>
      <c r="G58" s="10">
        <v>75.7988</v>
      </c>
      <c r="H58" s="10">
        <f t="shared" si="0"/>
        <v>66.893518999999998</v>
      </c>
      <c r="I58" s="10"/>
      <c r="J58" s="1"/>
      <c r="K58" s="7"/>
      <c r="L58" s="7"/>
      <c r="M58" s="7"/>
      <c r="N58" s="7"/>
      <c r="O58" s="10"/>
      <c r="P58" s="10"/>
      <c r="Q58" s="3"/>
      <c r="R58" s="3"/>
    </row>
    <row r="59" spans="1:18">
      <c r="A59" s="1">
        <v>47515</v>
      </c>
      <c r="B59" s="10">
        <v>4.3384999999999998</v>
      </c>
      <c r="C59" s="10">
        <v>4.351</v>
      </c>
      <c r="D59" s="10">
        <v>3.6059999999999999</v>
      </c>
      <c r="E59" s="10">
        <v>5.1310000000000002</v>
      </c>
      <c r="F59" s="10">
        <v>50.704500000000003</v>
      </c>
      <c r="G59" s="10">
        <v>65.981200000000001</v>
      </c>
      <c r="H59" s="10">
        <f t="shared" si="0"/>
        <v>57.273480999999997</v>
      </c>
      <c r="I59" s="10"/>
      <c r="J59" s="1"/>
      <c r="K59" s="7"/>
      <c r="L59" s="7"/>
      <c r="M59" s="7"/>
      <c r="N59" s="7"/>
      <c r="O59" s="10"/>
      <c r="P59" s="10"/>
      <c r="Q59" s="3"/>
      <c r="R59" s="3"/>
    </row>
    <row r="60" spans="1:18">
      <c r="A60" s="1">
        <v>47543</v>
      </c>
      <c r="B60" s="10">
        <v>3.0834999999999999</v>
      </c>
      <c r="C60" s="10">
        <v>3.5059999999999998</v>
      </c>
      <c r="D60" s="10">
        <v>2.6684999999999999</v>
      </c>
      <c r="E60" s="10">
        <v>3.851</v>
      </c>
      <c r="F60" s="10">
        <v>40.771500000000003</v>
      </c>
      <c r="G60" s="10">
        <v>54.5062</v>
      </c>
      <c r="H60" s="10">
        <f t="shared" si="0"/>
        <v>46.677420999999995</v>
      </c>
      <c r="I60" s="10"/>
      <c r="J60" s="1"/>
      <c r="K60" s="7"/>
      <c r="L60" s="7"/>
      <c r="M60" s="7"/>
      <c r="N60" s="7"/>
      <c r="O60" s="10"/>
      <c r="P60" s="10"/>
      <c r="Q60" s="3"/>
      <c r="R60" s="3"/>
    </row>
    <row r="61" spans="1:18">
      <c r="A61" s="1">
        <v>47574</v>
      </c>
      <c r="B61" s="10">
        <v>2.3330000000000002</v>
      </c>
      <c r="C61" s="10">
        <v>3.133</v>
      </c>
      <c r="D61" s="10">
        <v>2.0205000000000002</v>
      </c>
      <c r="E61" s="10">
        <v>2.9605000000000001</v>
      </c>
      <c r="F61" s="10">
        <v>23.3888</v>
      </c>
      <c r="G61" s="10">
        <v>37.803800000000003</v>
      </c>
      <c r="H61" s="10">
        <f t="shared" si="0"/>
        <v>29.587249999999997</v>
      </c>
      <c r="I61" s="10"/>
      <c r="J61" s="1"/>
      <c r="K61" s="7"/>
      <c r="L61" s="7"/>
      <c r="M61" s="7"/>
      <c r="N61" s="7"/>
      <c r="O61" s="10"/>
      <c r="P61" s="10"/>
      <c r="Q61" s="3"/>
      <c r="R61" s="3"/>
    </row>
    <row r="62" spans="1:18">
      <c r="A62" s="1">
        <v>47604</v>
      </c>
      <c r="B62" s="10">
        <v>2.2845</v>
      </c>
      <c r="C62" s="10">
        <v>3.0870000000000002</v>
      </c>
      <c r="D62" s="10">
        <v>1.9995000000000001</v>
      </c>
      <c r="E62" s="10">
        <v>2.9119999999999999</v>
      </c>
      <c r="F62" s="10">
        <v>22.753499999999999</v>
      </c>
      <c r="G62" s="10">
        <v>39.461199999999998</v>
      </c>
      <c r="H62" s="10">
        <f t="shared" si="0"/>
        <v>29.937810999999996</v>
      </c>
      <c r="I62" s="10"/>
      <c r="J62" s="1"/>
      <c r="K62" s="7"/>
      <c r="L62" s="7"/>
      <c r="M62" s="7"/>
      <c r="N62" s="7"/>
      <c r="O62" s="10"/>
      <c r="P62" s="10"/>
      <c r="Q62" s="3"/>
      <c r="R62" s="3"/>
    </row>
    <row r="63" spans="1:18">
      <c r="A63" s="1">
        <v>47635</v>
      </c>
      <c r="B63" s="10">
        <v>2.4464999999999999</v>
      </c>
      <c r="C63" s="10">
        <v>3.2040000000000002</v>
      </c>
      <c r="D63" s="10">
        <v>2.0990000000000002</v>
      </c>
      <c r="E63" s="10">
        <v>3.0465</v>
      </c>
      <c r="F63" s="10">
        <v>37.248800000000003</v>
      </c>
      <c r="G63" s="10">
        <v>47.238799999999998</v>
      </c>
      <c r="H63" s="10">
        <f t="shared" si="0"/>
        <v>41.544499999999999</v>
      </c>
      <c r="I63" s="10"/>
      <c r="J63" s="1"/>
      <c r="K63" s="7"/>
      <c r="L63" s="7"/>
      <c r="M63" s="7"/>
      <c r="N63" s="7"/>
      <c r="O63" s="10"/>
      <c r="P63" s="10"/>
      <c r="Q63" s="3"/>
      <c r="R63" s="3"/>
    </row>
    <row r="64" spans="1:18">
      <c r="A64" s="1">
        <v>47665</v>
      </c>
      <c r="B64" s="10">
        <v>2.9239999999999999</v>
      </c>
      <c r="C64" s="10">
        <v>3.4489999999999998</v>
      </c>
      <c r="D64" s="10">
        <v>2.8664999999999998</v>
      </c>
      <c r="E64" s="10">
        <v>4.1040000000000001</v>
      </c>
      <c r="F64" s="10">
        <v>112.6125</v>
      </c>
      <c r="G64" s="10">
        <v>82.428799999999995</v>
      </c>
      <c r="H64" s="10">
        <f t="shared" si="0"/>
        <v>99.633508999999989</v>
      </c>
      <c r="I64" s="10"/>
      <c r="J64" s="1"/>
      <c r="K64" s="7"/>
      <c r="L64" s="7"/>
      <c r="M64" s="7"/>
      <c r="N64" s="7"/>
      <c r="O64" s="10"/>
      <c r="P64" s="10"/>
      <c r="Q64" s="3"/>
      <c r="R64" s="3"/>
    </row>
    <row r="65" spans="1:18">
      <c r="A65" s="1">
        <v>47696</v>
      </c>
      <c r="B65" s="10">
        <v>2.9704999999999999</v>
      </c>
      <c r="C65" s="10">
        <v>3.4830000000000001</v>
      </c>
      <c r="D65" s="10">
        <v>2.9155000000000002</v>
      </c>
      <c r="E65" s="10">
        <v>4.1529999999999996</v>
      </c>
      <c r="F65" s="10">
        <v>114.0562</v>
      </c>
      <c r="G65" s="10">
        <v>86.572500000000005</v>
      </c>
      <c r="H65" s="10">
        <f t="shared" si="0"/>
        <v>102.23820900000001</v>
      </c>
      <c r="I65" s="10"/>
      <c r="J65" s="1"/>
      <c r="K65" s="7"/>
      <c r="L65" s="7"/>
      <c r="M65" s="7"/>
      <c r="N65" s="7"/>
      <c r="O65" s="10"/>
      <c r="P65" s="10"/>
      <c r="Q65" s="3"/>
      <c r="R65" s="3"/>
    </row>
    <row r="66" spans="1:18">
      <c r="A66" s="1">
        <v>47727</v>
      </c>
      <c r="B66" s="10">
        <v>2.9235000000000002</v>
      </c>
      <c r="C66" s="10">
        <v>3.4510000000000001</v>
      </c>
      <c r="D66" s="10">
        <v>2.8410000000000002</v>
      </c>
      <c r="E66" s="10">
        <v>4.0185000000000004</v>
      </c>
      <c r="F66" s="10">
        <v>80.272499999999994</v>
      </c>
      <c r="G66" s="10">
        <v>80.834999999999994</v>
      </c>
      <c r="H66" s="10">
        <f t="shared" si="0"/>
        <v>80.514374999999987</v>
      </c>
      <c r="I66" s="10"/>
      <c r="J66" s="1"/>
      <c r="K66" s="7"/>
      <c r="L66" s="7"/>
      <c r="M66" s="7"/>
      <c r="N66" s="7"/>
      <c r="O66" s="10"/>
      <c r="P66" s="10"/>
      <c r="Q66" s="3"/>
      <c r="R66" s="3"/>
    </row>
    <row r="67" spans="1:18">
      <c r="A67" s="1">
        <v>47757</v>
      </c>
      <c r="B67" s="10">
        <v>2.9289999999999998</v>
      </c>
      <c r="C67" s="10">
        <v>3.5289999999999999</v>
      </c>
      <c r="D67" s="10">
        <v>3.1440000000000001</v>
      </c>
      <c r="E67" s="10">
        <v>3.4765000000000001</v>
      </c>
      <c r="F67" s="10">
        <v>45.680199999999999</v>
      </c>
      <c r="G67" s="10">
        <v>61.582500000000003</v>
      </c>
      <c r="H67" s="10">
        <f t="shared" si="0"/>
        <v>52.518189</v>
      </c>
      <c r="I67" s="10"/>
      <c r="J67" s="1"/>
      <c r="K67" s="7"/>
      <c r="L67" s="7"/>
      <c r="M67" s="7"/>
      <c r="N67" s="7"/>
      <c r="O67" s="10"/>
      <c r="P67" s="10"/>
      <c r="Q67" s="3"/>
      <c r="R67" s="3"/>
    </row>
    <row r="68" spans="1:18">
      <c r="A68" s="1">
        <v>47788</v>
      </c>
      <c r="B68" s="10">
        <v>3.3294999999999999</v>
      </c>
      <c r="C68" s="10">
        <v>3.6970000000000001</v>
      </c>
      <c r="D68" s="10">
        <v>2.9769999999999999</v>
      </c>
      <c r="E68" s="10">
        <v>4.2195</v>
      </c>
      <c r="F68" s="10">
        <v>46.430999999999997</v>
      </c>
      <c r="G68" s="10">
        <v>62.156199999999998</v>
      </c>
      <c r="H68" s="10">
        <f t="shared" si="0"/>
        <v>53.192836</v>
      </c>
      <c r="I68" s="10"/>
      <c r="J68" s="1"/>
      <c r="K68" s="7"/>
      <c r="L68" s="7"/>
      <c r="M68" s="7"/>
      <c r="N68" s="7"/>
      <c r="O68" s="10"/>
      <c r="P68" s="10"/>
      <c r="Q68" s="3"/>
      <c r="R68" s="3"/>
    </row>
    <row r="69" spans="1:18">
      <c r="A69" s="1">
        <v>47818</v>
      </c>
      <c r="B69" s="10">
        <v>4.0514999999999999</v>
      </c>
      <c r="C69" s="10">
        <v>4.234</v>
      </c>
      <c r="D69" s="10">
        <v>3.5565000000000002</v>
      </c>
      <c r="E69" s="10">
        <v>4.9264999999999999</v>
      </c>
      <c r="F69" s="10">
        <v>58.905000000000001</v>
      </c>
      <c r="G69" s="10">
        <v>70.635000000000005</v>
      </c>
      <c r="H69" s="10">
        <f t="shared" si="0"/>
        <v>63.948899999999995</v>
      </c>
      <c r="I69" s="10"/>
      <c r="J69" s="1"/>
      <c r="K69" s="7"/>
      <c r="L69" s="7"/>
      <c r="M69" s="7"/>
      <c r="N69" s="7"/>
      <c r="O69" s="10"/>
      <c r="P69" s="10"/>
      <c r="Q69" s="3"/>
      <c r="R69" s="3"/>
    </row>
    <row r="70" spans="1:18">
      <c r="A70" s="1">
        <v>47849</v>
      </c>
      <c r="B70" s="10">
        <v>4.5984999999999996</v>
      </c>
      <c r="C70" s="10">
        <v>4.6459999999999999</v>
      </c>
      <c r="D70" s="10">
        <v>3.9260000000000002</v>
      </c>
      <c r="E70" s="10">
        <v>5.3585000000000003</v>
      </c>
      <c r="F70" s="10">
        <v>60.6965</v>
      </c>
      <c r="G70" s="10">
        <v>73.123500000000007</v>
      </c>
      <c r="H70" s="10">
        <v>81.662080000000003</v>
      </c>
      <c r="I70" s="10"/>
    </row>
    <row r="71" spans="1:18">
      <c r="A71" s="1">
        <v>47880</v>
      </c>
      <c r="B71" s="10">
        <v>4.2904999999999998</v>
      </c>
      <c r="C71" s="10">
        <v>4.2279999999999998</v>
      </c>
      <c r="D71" s="10">
        <v>3.5154999999999998</v>
      </c>
      <c r="E71" s="10">
        <v>4.8730000000000002</v>
      </c>
      <c r="F71" s="10">
        <v>51.143500000000003</v>
      </c>
      <c r="G71" s="10">
        <v>63.652500000000003</v>
      </c>
      <c r="H71" s="10">
        <v>60.463513999999996</v>
      </c>
      <c r="I71" s="10"/>
    </row>
    <row r="72" spans="1:18">
      <c r="A72" s="1">
        <v>47908</v>
      </c>
      <c r="B72" s="10">
        <v>3.2105000000000001</v>
      </c>
      <c r="C72" s="10">
        <v>3.4529999999999998</v>
      </c>
      <c r="D72" s="10">
        <v>2.7305000000000001</v>
      </c>
      <c r="E72" s="10">
        <v>3.9455</v>
      </c>
      <c r="F72" s="10">
        <v>41.124499999999998</v>
      </c>
      <c r="G72" s="10">
        <v>52.582500000000003</v>
      </c>
      <c r="H72" s="10">
        <v>45.954205000000002</v>
      </c>
      <c r="I72" s="10"/>
    </row>
    <row r="73" spans="1:18">
      <c r="A73" s="1">
        <v>47939</v>
      </c>
      <c r="B73" s="10">
        <v>2.1579999999999999</v>
      </c>
      <c r="C73" s="10">
        <v>3.0830000000000002</v>
      </c>
      <c r="D73" s="10">
        <v>1.9005000000000001</v>
      </c>
      <c r="E73" s="10">
        <v>2.7879999999999998</v>
      </c>
      <c r="F73" s="10">
        <v>23.591200000000001</v>
      </c>
      <c r="G73" s="10">
        <v>36.469499999999996</v>
      </c>
      <c r="H73" s="10">
        <v>34.594600999999997</v>
      </c>
      <c r="I73" s="10"/>
    </row>
    <row r="74" spans="1:18">
      <c r="A74" s="1">
        <v>47969</v>
      </c>
      <c r="B74" s="10">
        <v>2.1095000000000002</v>
      </c>
      <c r="C74" s="10">
        <v>3.0470000000000002</v>
      </c>
      <c r="D74" s="10">
        <v>1.8745000000000001</v>
      </c>
      <c r="E74" s="10">
        <v>2.7444999999999999</v>
      </c>
      <c r="F74" s="10">
        <v>22.950500000000002</v>
      </c>
      <c r="G74" s="10">
        <v>38.0685</v>
      </c>
      <c r="H74" s="10">
        <v>33.25676</v>
      </c>
      <c r="I74" s="10"/>
    </row>
    <row r="75" spans="1:18">
      <c r="A75" s="1">
        <v>48000</v>
      </c>
      <c r="B75" s="10">
        <v>2.2454999999999998</v>
      </c>
      <c r="C75" s="10">
        <v>3.1680000000000001</v>
      </c>
      <c r="D75" s="10">
        <v>1.9930000000000001</v>
      </c>
      <c r="E75" s="10">
        <v>2.8879999999999999</v>
      </c>
      <c r="F75" s="10">
        <v>37.571199999999997</v>
      </c>
      <c r="G75" s="10">
        <v>45.5715</v>
      </c>
      <c r="H75" s="10">
        <v>49.208750999999992</v>
      </c>
      <c r="I75" s="10"/>
    </row>
    <row r="76" spans="1:18">
      <c r="A76" s="1">
        <v>48030</v>
      </c>
      <c r="B76" s="10">
        <v>2.8975</v>
      </c>
      <c r="C76" s="10">
        <v>3.37</v>
      </c>
      <c r="D76" s="10">
        <v>3.0024999999999999</v>
      </c>
      <c r="E76" s="10">
        <v>3.7374999999999998</v>
      </c>
      <c r="F76" s="10">
        <v>113.58750000000001</v>
      </c>
      <c r="G76" s="10">
        <v>79.519499999999994</v>
      </c>
      <c r="H76" s="10">
        <v>129.80978099999999</v>
      </c>
      <c r="I76" s="10"/>
    </row>
    <row r="77" spans="1:18">
      <c r="A77" s="1">
        <v>48061</v>
      </c>
      <c r="B77" s="10">
        <v>2.9649999999999999</v>
      </c>
      <c r="C77" s="10">
        <v>3.4249999999999998</v>
      </c>
      <c r="D77" s="10">
        <v>3.0724999999999998</v>
      </c>
      <c r="E77" s="10">
        <v>3.8075000000000001</v>
      </c>
      <c r="F77" s="10">
        <v>115.0438</v>
      </c>
      <c r="G77" s="10">
        <v>83.516999999999996</v>
      </c>
      <c r="H77" s="10">
        <v>136.83783</v>
      </c>
      <c r="I77" s="10"/>
    </row>
    <row r="78" spans="1:18">
      <c r="A78" s="1">
        <v>48092</v>
      </c>
      <c r="B78" s="10">
        <v>2.9239999999999999</v>
      </c>
      <c r="C78" s="10">
        <v>3.4089999999999998</v>
      </c>
      <c r="D78" s="10">
        <v>3.0139999999999998</v>
      </c>
      <c r="E78" s="10">
        <v>3.6915</v>
      </c>
      <c r="F78" s="10">
        <v>80.967500000000001</v>
      </c>
      <c r="G78" s="10">
        <v>77.981999999999999</v>
      </c>
      <c r="H78" s="10">
        <v>110.93956599999999</v>
      </c>
      <c r="I78" s="10"/>
    </row>
    <row r="79" spans="1:18">
      <c r="A79" s="1">
        <v>48122</v>
      </c>
      <c r="B79" s="10">
        <v>2.9769999999999999</v>
      </c>
      <c r="C79" s="10">
        <v>3.4870000000000001</v>
      </c>
      <c r="D79" s="10">
        <v>3.1269999999999998</v>
      </c>
      <c r="E79" s="10">
        <v>3.1869999999999998</v>
      </c>
      <c r="F79" s="10">
        <v>46.075800000000001</v>
      </c>
      <c r="G79" s="10">
        <v>59.408999999999999</v>
      </c>
      <c r="H79" s="10">
        <v>47.560018999999997</v>
      </c>
      <c r="I79" s="10"/>
    </row>
    <row r="80" spans="1:18">
      <c r="A80" s="1">
        <v>48153</v>
      </c>
      <c r="B80" s="10">
        <v>3.2890000000000001</v>
      </c>
      <c r="C80" s="10">
        <v>3.714</v>
      </c>
      <c r="D80" s="10">
        <v>3.169</v>
      </c>
      <c r="E80" s="10">
        <v>4.0815000000000001</v>
      </c>
      <c r="F80" s="10">
        <v>46.832999999999998</v>
      </c>
      <c r="G80" s="10">
        <v>59.962499999999999</v>
      </c>
      <c r="H80" s="10">
        <v>48.599548999999996</v>
      </c>
      <c r="I80" s="10"/>
    </row>
    <row r="81" spans="1:9">
      <c r="A81" s="1">
        <v>48183</v>
      </c>
      <c r="B81" s="10">
        <v>4.0759999999999996</v>
      </c>
      <c r="C81" s="10">
        <v>4.3159999999999998</v>
      </c>
      <c r="D81" s="10">
        <v>3.8085</v>
      </c>
      <c r="E81" s="10">
        <v>4.8535000000000004</v>
      </c>
      <c r="F81" s="10">
        <v>59.414999999999999</v>
      </c>
      <c r="G81" s="10">
        <v>68.141999999999996</v>
      </c>
      <c r="H81" s="10">
        <v>85.533344</v>
      </c>
      <c r="I81" s="10"/>
    </row>
  </sheetData>
  <mergeCells count="6">
    <mergeCell ref="A7:G7"/>
    <mergeCell ref="F8:G8"/>
    <mergeCell ref="B8:E8"/>
    <mergeCell ref="K8:N8"/>
    <mergeCell ref="O8:P8"/>
    <mergeCell ref="J7:R7"/>
  </mergeCells>
  <pageMargins left="0.7" right="0.7" top="0.75" bottom="0.75" header="0.3" footer="0.3"/>
  <pageSetup orientation="portrait" r:id="rId1"/>
  <headerFooter>
    <oddFooter>&amp;L&amp;1#&amp;"Calibri"&amp;10&amp;K000000Confidential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146"/>
  <sheetViews>
    <sheetView tabSelected="1" workbookViewId="0">
      <pane ySplit="13" topLeftCell="A14" activePane="bottomLeft" state="frozen"/>
      <selection pane="bottomLeft" activeCell="C18" sqref="C18"/>
      <selection activeCell="A16" sqref="A1:XFD1048576"/>
    </sheetView>
  </sheetViews>
  <sheetFormatPr defaultRowHeight="14.25"/>
  <cols>
    <col min="2" max="2" width="14.5" customWidth="1"/>
    <col min="3" max="3" width="15.625" customWidth="1"/>
    <col min="4" max="4" width="11.125" customWidth="1"/>
    <col min="6" max="6" width="2.75" customWidth="1"/>
    <col min="7" max="7" width="13.75" bestFit="1" customWidth="1"/>
    <col min="8" max="8" width="13.375" bestFit="1" customWidth="1"/>
    <col min="9" max="9" width="13.25" bestFit="1" customWidth="1"/>
    <col min="10" max="10" width="8.25" style="11" bestFit="1" customWidth="1"/>
    <col min="11" max="11" width="10.5" bestFit="1" customWidth="1"/>
    <col min="12" max="12" width="10.125" customWidth="1"/>
    <col min="13" max="13" width="14.625" customWidth="1"/>
    <col min="14" max="14" width="10.625" bestFit="1" customWidth="1"/>
    <col min="15" max="15" width="11.25" customWidth="1"/>
    <col min="16" max="16" width="9.75" bestFit="1" customWidth="1"/>
  </cols>
  <sheetData>
    <row r="1" spans="1:16" ht="15">
      <c r="A1" s="15" t="str">
        <f>"FOUR CORNERS &amp; CHOLLA COAL DISPATCH PRICE CALCULATIONS BASED ON " &amp; TEXT(Prices!$C$1,"MM/DD/YYYY") &amp; " FORWARD PRICES"</f>
        <v>FOUR CORNERS &amp; CHOLLA COAL DISPATCH PRICE CALCULATIONS BASED ON 07/31/2026 FORWARD PRICES</v>
      </c>
    </row>
    <row r="3" spans="1:16" ht="15">
      <c r="B3" s="87" t="s">
        <v>50</v>
      </c>
      <c r="C3" s="87"/>
      <c r="D3" s="87"/>
      <c r="E3" s="87"/>
      <c r="G3" s="87" t="s">
        <v>51</v>
      </c>
      <c r="H3" s="87"/>
      <c r="I3" s="87"/>
      <c r="J3" s="87"/>
      <c r="K3" s="87"/>
      <c r="L3" s="87"/>
    </row>
    <row r="4" spans="1:16">
      <c r="C4" t="s">
        <v>52</v>
      </c>
      <c r="J4" t="s">
        <v>53</v>
      </c>
    </row>
    <row r="5" spans="1:16">
      <c r="C5" t="s">
        <v>54</v>
      </c>
      <c r="J5" t="s">
        <v>55</v>
      </c>
    </row>
    <row r="6" spans="1:16">
      <c r="J6" t="str">
        <f>"-1=LD discounted"</f>
        <v>-1=LD discounted</v>
      </c>
    </row>
    <row r="7" spans="1:16" ht="15">
      <c r="B7" s="15" t="s">
        <v>56</v>
      </c>
      <c r="C7" s="24">
        <v>1.75</v>
      </c>
    </row>
    <row r="8" spans="1:16" ht="15">
      <c r="B8" s="15" t="s">
        <v>57</v>
      </c>
      <c r="C8" s="24">
        <v>2.69</v>
      </c>
    </row>
    <row r="9" spans="1:16" ht="15">
      <c r="B9" s="15" t="s">
        <v>58</v>
      </c>
      <c r="C9" s="24">
        <v>0.14285999999999999</v>
      </c>
      <c r="G9" s="22" t="s">
        <v>59</v>
      </c>
      <c r="N9" s="22" t="s">
        <v>60</v>
      </c>
      <c r="O9" s="24">
        <v>0.56999999999999995</v>
      </c>
      <c r="P9" t="s">
        <v>61</v>
      </c>
    </row>
    <row r="10" spans="1:16" ht="15">
      <c r="B10" s="15" t="s">
        <v>62</v>
      </c>
      <c r="C10" s="24">
        <v>0.24</v>
      </c>
      <c r="G10" s="24">
        <v>7.4999999999999997E-2</v>
      </c>
      <c r="N10" s="24">
        <v>1.1000000000000001</v>
      </c>
      <c r="O10" s="24">
        <v>0.43</v>
      </c>
      <c r="P10" t="s">
        <v>63</v>
      </c>
    </row>
    <row r="11" spans="1:16">
      <c r="L11" s="13"/>
    </row>
    <row r="12" spans="1:16" ht="15">
      <c r="B12" s="32" t="s">
        <v>64</v>
      </c>
      <c r="C12" s="22" t="s">
        <v>65</v>
      </c>
      <c r="D12" s="34" t="s">
        <v>65</v>
      </c>
      <c r="E12" s="21" t="s">
        <v>65</v>
      </c>
      <c r="G12" s="21" t="s">
        <v>66</v>
      </c>
      <c r="H12" s="32" t="s">
        <v>67</v>
      </c>
      <c r="I12" s="21" t="s">
        <v>21</v>
      </c>
      <c r="J12" s="33" t="s">
        <v>68</v>
      </c>
      <c r="K12" s="34" t="s">
        <v>65</v>
      </c>
      <c r="L12" s="21" t="s">
        <v>65</v>
      </c>
      <c r="M12" s="12" t="s">
        <v>69</v>
      </c>
      <c r="N12" s="21" t="s">
        <v>70</v>
      </c>
      <c r="O12" s="21" t="s">
        <v>71</v>
      </c>
    </row>
    <row r="13" spans="1:16" ht="15">
      <c r="A13" t="s">
        <v>40</v>
      </c>
      <c r="B13" s="32" t="s">
        <v>27</v>
      </c>
      <c r="C13" s="22" t="s">
        <v>72</v>
      </c>
      <c r="D13" s="35" t="s">
        <v>27</v>
      </c>
      <c r="E13" s="32" t="s">
        <v>73</v>
      </c>
      <c r="F13" s="4"/>
      <c r="G13" s="41" t="s">
        <v>27</v>
      </c>
      <c r="H13" s="32" t="s">
        <v>27</v>
      </c>
      <c r="I13" s="32" t="s">
        <v>27</v>
      </c>
      <c r="J13" s="33" t="s">
        <v>72</v>
      </c>
      <c r="K13" s="35" t="s">
        <v>27</v>
      </c>
      <c r="L13" s="21" t="s">
        <v>26</v>
      </c>
      <c r="M13" s="12" t="s">
        <v>74</v>
      </c>
      <c r="N13" s="21" t="s">
        <v>26</v>
      </c>
      <c r="O13" s="21" t="s">
        <v>26</v>
      </c>
    </row>
    <row r="14" spans="1:16">
      <c r="A14" s="1">
        <f>Prices!A10</f>
        <v>46023</v>
      </c>
      <c r="B14" s="7">
        <f>$C$7*(Prices!C10/$C$8)*(1+$C$9)</f>
        <v>5.7342750383739061</v>
      </c>
      <c r="C14" s="24">
        <v>0</v>
      </c>
      <c r="D14" s="38">
        <f>IF(C14=0,$C$10*VLOOKUP(YEAR($A14),Assumptions!$A$8:$J$31,10),B14)</f>
        <v>0.95291999999999999</v>
      </c>
      <c r="E14" s="10">
        <f>D14*Assumptions!$K$9+VLOOKUP(YEAR($A14),Assumptions!$A$8:$M$31,13)</f>
        <v>14.727317649518138</v>
      </c>
      <c r="F14" s="5"/>
      <c r="G14" s="40">
        <f>VLOOKUP(YEAR($A14),Assumptions!$A$8:$D$13,4)-$G$10</f>
        <v>2.8849999999999998</v>
      </c>
      <c r="H14" s="7">
        <f>G14-VLOOKUP(YEAR($A14),Assumptions!$A$8:$H$12,8)</f>
        <v>2.2361684782608693</v>
      </c>
      <c r="I14" s="7">
        <f>VLOOKUP(YEAR($A14),Assumptions!$A$8:$G$12,7)*(MIN(N14,O14)-VLOOKUP(YEAR($A14),Assumptions!$A$8:$F$12,6))/VLOOKUP(YEAR($A14),Assumptions!$A$8:$E$12,5)</f>
        <v>2.0339314691643251</v>
      </c>
      <c r="J14" s="11">
        <v>1</v>
      </c>
      <c r="K14" s="38">
        <f>IF(J14=0,MIN(G14,MAX(H14,I14)),IF(J14=-1,H14,IF(J14=-2,MIN(G14,I14),IF(J14=2,#REF!,G14))))</f>
        <v>2.8849999999999998</v>
      </c>
      <c r="L14" s="10">
        <f>K14*VLOOKUP(YEAR($A14),Assumptions!$A$8:$G$15,5)+VLOOKUP(YEAR($A14),Assumptions!$A$8:$G$15,6)</f>
        <v>0</v>
      </c>
      <c r="M14" s="62">
        <f>L14-N14</f>
        <v>-27.226014351830703</v>
      </c>
      <c r="N14" s="10">
        <f>VLOOKUP(YEAR($A14),Assumptions!$A$8:$C$19,2)*(Prices!B10*$N$10)+VLOOKUP(YEAR($A14),Assumptions!$A$8:$C$19,3)</f>
        <v>27.226014351830703</v>
      </c>
      <c r="O14" s="10">
        <f>$O$9*Prices!$F10+$O$10*Prices!$G10</f>
        <v>31.681636917562724</v>
      </c>
      <c r="P14" s="10"/>
    </row>
    <row r="15" spans="1:16">
      <c r="A15" s="1">
        <f>Prices!A11</f>
        <v>46054</v>
      </c>
      <c r="B15" s="7">
        <f>$C$7*(Prices!C11/$C$8)*(1+$C$9)</f>
        <v>2.8536980529739777</v>
      </c>
      <c r="C15" s="24">
        <v>0</v>
      </c>
      <c r="D15" s="38">
        <f>IF(C15=0,$C$10*VLOOKUP(YEAR($A15),Assumptions!$A$8:$J$31,10),B15)</f>
        <v>0.95291999999999999</v>
      </c>
      <c r="E15" s="10">
        <f>D15*Assumptions!$K$9+VLOOKUP(YEAR($A15),Assumptions!$A$8:$M$31,13)</f>
        <v>14.727317649518138</v>
      </c>
      <c r="F15" s="5"/>
      <c r="G15" s="40">
        <f>VLOOKUP(YEAR($A15),Assumptions!$A$8:$D$13,4)-$G$10</f>
        <v>2.8849999999999998</v>
      </c>
      <c r="H15" s="7">
        <f>G15-VLOOKUP(YEAR($A15),Assumptions!$A$8:$H$12,8)</f>
        <v>2.2361684782608693</v>
      </c>
      <c r="I15" s="7" t="e">
        <f>VLOOKUP(YEAR($A15),Assumptions!$A$8:$G$15,7)*(MIN(N15,O15)-VLOOKUP(YEAR($A15),Assumptions!$A$8:$G$12,6))/VLOOKUP(YEAR($A15),Assumptions!$A$8:$H$15,5)</f>
        <v>#DIV/0!</v>
      </c>
      <c r="J15" s="11">
        <v>1</v>
      </c>
      <c r="K15" s="38">
        <f>IF(J15=0,MIN(G15,MAX(H15,I15)),IF(J15=-1,H15,IF(J15=-2,MIN(G15,I15),IF(J15=2,#REF!,G15))))</f>
        <v>2.8849999999999998</v>
      </c>
      <c r="L15" s="10">
        <f>K15*VLOOKUP(YEAR($A15),Assumptions!$A$8:$G$15,5)+VLOOKUP(YEAR($A15),Assumptions!$A$8:$G$15,6)</f>
        <v>0</v>
      </c>
      <c r="M15" s="62">
        <f t="shared" ref="M15:M37" si="0">L15-N15</f>
        <v>-11.354631174411347</v>
      </c>
      <c r="N15" s="10">
        <f>VLOOKUP(YEAR($A15),Assumptions!$A$8:$C$19,2)*(Prices!B11*$N$10)+VLOOKUP(YEAR($A15),Assumptions!$A$8:$C$19,3)</f>
        <v>11.354631174411347</v>
      </c>
      <c r="O15" s="10">
        <f>$O$9*Prices!$F11+$O$10*Prices!$G11</f>
        <v>22.780562499999998</v>
      </c>
      <c r="P15" s="10"/>
    </row>
    <row r="16" spans="1:16">
      <c r="A16" s="1">
        <f>Prices!A12</f>
        <v>46082</v>
      </c>
      <c r="B16" s="7">
        <f>$C$7*(Prices!C12/$C$8)*(1+$C$9)</f>
        <v>2.2737795182276055</v>
      </c>
      <c r="C16" s="24">
        <v>0</v>
      </c>
      <c r="D16" s="38">
        <f>IF(C16=0,$C$10*VLOOKUP(YEAR($A16),Assumptions!$A$8:$J$31,10),B16)</f>
        <v>0.95291999999999999</v>
      </c>
      <c r="E16" s="10">
        <f>D16*Assumptions!$K$9+VLOOKUP(YEAR($A16),Assumptions!$A$8:$M$31,13)</f>
        <v>14.727317649518138</v>
      </c>
      <c r="F16" s="5"/>
      <c r="G16" s="40">
        <f>VLOOKUP(YEAR($A16),Assumptions!$A$8:$D$13,4)-$G$10</f>
        <v>2.8849999999999998</v>
      </c>
      <c r="H16" s="7">
        <f>G16-VLOOKUP(YEAR($A16),Assumptions!$A$8:$H$12,8)</f>
        <v>2.2361684782608693</v>
      </c>
      <c r="I16" s="7" t="e">
        <f>VLOOKUP(YEAR($A16),Assumptions!$A$8:$G$15,7)*(MIN(N16,O16)-VLOOKUP(YEAR($A16),Assumptions!$A$8:$G$15,6))/VLOOKUP(YEAR($A16),Assumptions!$A$8:$H$15,5)</f>
        <v>#DIV/0!</v>
      </c>
      <c r="J16" s="11">
        <v>1</v>
      </c>
      <c r="K16" s="38">
        <f>IF(J16=0,MIN(G16,MAX(H16,I16)),IF(J16=-1,H16,IF(J16=-2,MIN(G16,I16),IF(J16=2,#REF!,G16))))</f>
        <v>2.8849999999999998</v>
      </c>
      <c r="L16" s="10">
        <f>K16*VLOOKUP(YEAR($A16),Assumptions!$A$8:$G$15,5)+VLOOKUP(YEAR($A16),Assumptions!$A$8:$G$15,6)</f>
        <v>0</v>
      </c>
      <c r="M16" s="62">
        <f t="shared" si="0"/>
        <v>-7.8621352550565087</v>
      </c>
      <c r="N16" s="10">
        <f>VLOOKUP(YEAR($A16),Assumptions!$A$8:$C$19,2)*(Prices!B12*$N$10)+VLOOKUP(YEAR($A16),Assumptions!$A$8:$C$19,3)</f>
        <v>7.8621352550565087</v>
      </c>
      <c r="O16" s="10">
        <f>$O$9*Prices!$F12+$O$10*Prices!$G12</f>
        <v>23.38643052109181</v>
      </c>
      <c r="P16" s="10"/>
    </row>
    <row r="17" spans="1:16">
      <c r="A17" s="1">
        <f>Prices!A13</f>
        <v>46113</v>
      </c>
      <c r="B17" s="7">
        <f>$C$7*(Prices!C13/$C$8)*(1+$C$9)</f>
        <v>2.0622108556381664</v>
      </c>
      <c r="C17" s="24">
        <v>0</v>
      </c>
      <c r="D17" s="38">
        <f>IF(C17=0,$C$10*VLOOKUP(YEAR($A17),Assumptions!$A$8:$J$31,10),B17)</f>
        <v>0.95291999999999999</v>
      </c>
      <c r="E17" s="10">
        <f>D17*Assumptions!$K$9+VLOOKUP(YEAR($A17),Assumptions!$A$8:$M$31,13)</f>
        <v>14.727317649518138</v>
      </c>
      <c r="F17" s="5"/>
      <c r="G17" s="40">
        <f>VLOOKUP(YEAR($A17),Assumptions!$A$8:$D$13,4)-$G$10</f>
        <v>2.8849999999999998</v>
      </c>
      <c r="H17" s="7">
        <f>G17-VLOOKUP(YEAR($A17),Assumptions!$A$8:$H$12,8)</f>
        <v>2.2361684782608693</v>
      </c>
      <c r="I17" s="7" t="e">
        <f>VLOOKUP(YEAR($A17),Assumptions!$A$8:$G$15,7)*(MIN(N17,O17)-VLOOKUP(YEAR($A17),Assumptions!$A$8:$G$15,6))/VLOOKUP(YEAR($A17),Assumptions!$A$8:$H$15,5)</f>
        <v>#DIV/0!</v>
      </c>
      <c r="J17" s="11">
        <v>1</v>
      </c>
      <c r="K17" s="38">
        <f>IF(J17=0,MIN(G17,MAX(H17,I17)),IF(J17=-1,H17,IF(J17=-2,MIN(G17,I17),IF(J17=2,#REF!,G17))))</f>
        <v>2.8849999999999998</v>
      </c>
      <c r="L17" s="10">
        <f>K17*VLOOKUP(YEAR($A17),Assumptions!$A$8:$G$15,5)+VLOOKUP(YEAR($A17),Assumptions!$A$8:$G$15,6)</f>
        <v>0</v>
      </c>
      <c r="M17" s="62">
        <f t="shared" si="0"/>
        <v>-4.8636466744113465</v>
      </c>
      <c r="N17" s="10">
        <f>VLOOKUP(YEAR($A17),Assumptions!$A$8:$C$19,2)*(Prices!B13*$N$10)+VLOOKUP(YEAR($A17),Assumptions!$A$8:$C$19,3)</f>
        <v>4.8636466744113465</v>
      </c>
      <c r="O17" s="10">
        <f>$O$9*Prices!$F13+$O$10*Prices!$G13</f>
        <v>14.261547179487179</v>
      </c>
      <c r="P17" s="10"/>
    </row>
    <row r="18" spans="1:16" ht="15" thickBot="1">
      <c r="A18" s="14">
        <f>Prices!A14</f>
        <v>46143</v>
      </c>
      <c r="B18" s="37">
        <f>$C$7*(Prices!C14/$C$8)*(1+$C$9)</f>
        <v>2.1473851501978656</v>
      </c>
      <c r="C18" s="36">
        <v>0</v>
      </c>
      <c r="D18" s="39">
        <f>IF(C18=0,$C$10*VLOOKUP(YEAR($A18),Assumptions!$A$8:$J$31,10),B18)</f>
        <v>0.95291999999999999</v>
      </c>
      <c r="E18" s="43">
        <f>D18*Assumptions!$K$9+VLOOKUP(YEAR($A18),Assumptions!$A$8:$M$31,13)</f>
        <v>14.727317649518138</v>
      </c>
      <c r="F18" s="5"/>
      <c r="G18" s="40">
        <f>VLOOKUP(YEAR($A18),Assumptions!$A$8:$D$13,4)-$G$10</f>
        <v>2.8849999999999998</v>
      </c>
      <c r="H18" s="7">
        <f>G18-VLOOKUP(YEAR($A18),Assumptions!$A$8:$H$12,8)</f>
        <v>2.2361684782608693</v>
      </c>
      <c r="I18" s="7" t="e">
        <f>VLOOKUP(YEAR($A18),Assumptions!$A$8:$G$15,7)*(MIN(N18,O18)-VLOOKUP(YEAR($A18),Assumptions!$A$8:$G$15,6))/VLOOKUP(YEAR($A18),Assumptions!$A$8:$H$15,5)</f>
        <v>#DIV/0!</v>
      </c>
      <c r="J18" s="11">
        <v>1</v>
      </c>
      <c r="K18" s="38">
        <f>IF(J18=0,MIN(G18,MAX(H18,I18)),IF(J18=-1,H18,IF(J18=-2,MIN(G18,I18),IF(J18=2,#REF!,G18))))</f>
        <v>2.8849999999999998</v>
      </c>
      <c r="L18" s="10">
        <f>K18*VLOOKUP(YEAR($A18),Assumptions!$A$8:$G$15,5)+VLOOKUP(YEAR($A18),Assumptions!$A$8:$G$15,6)</f>
        <v>0</v>
      </c>
      <c r="M18" s="62">
        <f t="shared" si="0"/>
        <v>-8.0567167389274754</v>
      </c>
      <c r="N18" s="10">
        <f>VLOOKUP(YEAR($A18),Assumptions!$A$8:$C$19,2)*(Prices!B14*$N$10)+VLOOKUP(YEAR($A18),Assumptions!$A$8:$C$19,3)</f>
        <v>8.0567167389274754</v>
      </c>
      <c r="O18" s="10">
        <f>$O$9*Prices!$F14+$O$10*Prices!$G14</f>
        <v>20.151819310344827</v>
      </c>
      <c r="P18" s="10"/>
    </row>
    <row r="19" spans="1:16">
      <c r="A19" s="1">
        <f>Prices!A15</f>
        <v>46174</v>
      </c>
      <c r="B19" s="7">
        <f>$C$7*(Prices!C15/$C$8)*(1+$C$9)</f>
        <v>2.3368088159851301</v>
      </c>
      <c r="C19" s="24">
        <v>0</v>
      </c>
      <c r="D19" s="38">
        <f>IF(C19=0,$C$10*VLOOKUP(YEAR($A19),Assumptions!$A$8:$J$31,10),B19)</f>
        <v>0.95291999999999999</v>
      </c>
      <c r="E19" s="10">
        <f>D19*Assumptions!$K$9+VLOOKUP(YEAR($A19),Assumptions!$A$8:$M$31,13)</f>
        <v>14.727317649518138</v>
      </c>
      <c r="F19" s="5"/>
      <c r="G19" s="40">
        <f>VLOOKUP(YEAR($A19),Assumptions!$A$8:$D$13,4)-$G$10</f>
        <v>2.8849999999999998</v>
      </c>
      <c r="H19" s="7">
        <f>G19-VLOOKUP(YEAR($A19),Assumptions!$A$8:$H$12,8)</f>
        <v>2.2361684782608693</v>
      </c>
      <c r="I19" s="7" t="e">
        <f>VLOOKUP(YEAR($A19),Assumptions!$A$8:$G$15,7)*(MIN(N19,O19)-VLOOKUP(YEAR($A19),Assumptions!$A$8:$G$15,6))/VLOOKUP(YEAR($A19),Assumptions!$A$8:$H$15,5)</f>
        <v>#DIV/0!</v>
      </c>
      <c r="J19" s="11">
        <v>1</v>
      </c>
      <c r="K19" s="38">
        <f>IF(J19=0,MIN(G19,MAX(H19,I19)),IF(J19=-1,H19,IF(J19=-2,MIN(G19,I19),IF(J19=2,#REF!,G19))))</f>
        <v>2.8849999999999998</v>
      </c>
      <c r="L19" s="10">
        <f>K19*VLOOKUP(YEAR($A19),Assumptions!$A$8:$G$15,5)+VLOOKUP(YEAR($A19),Assumptions!$A$8:$G$15,6)</f>
        <v>0</v>
      </c>
      <c r="M19" s="62">
        <f t="shared" si="0"/>
        <v>-12.275670341078014</v>
      </c>
      <c r="N19" s="10">
        <f>VLOOKUP(YEAR($A19),Assumptions!$A$8:$C$19,2)*(Prices!B15*$N$10)+VLOOKUP(YEAR($A19),Assumptions!$A$8:$C$19,3)</f>
        <v>12.275670341078014</v>
      </c>
      <c r="O19" s="10">
        <f>$O$9*Prices!$F15+$O$10*Prices!$G15</f>
        <v>25.596614358974357</v>
      </c>
      <c r="P19" s="10"/>
    </row>
    <row r="20" spans="1:16">
      <c r="A20" s="1">
        <f>Prices!A16</f>
        <v>46204</v>
      </c>
      <c r="B20" s="7">
        <f>$C$7*(Prices!C16/$C$8)*(1+$C$9)</f>
        <v>2.1849197205899986</v>
      </c>
      <c r="C20" s="24">
        <v>0</v>
      </c>
      <c r="D20" s="38">
        <f>IF(C20=0,$C$10*VLOOKUP(YEAR($A20),Assumptions!$A$8:$J$31,10),B20)</f>
        <v>0.95291999999999999</v>
      </c>
      <c r="E20" s="10">
        <f>D20*Assumptions!$K$9+VLOOKUP(YEAR($A20),Assumptions!$A$8:$M$31,13)</f>
        <v>14.727317649518138</v>
      </c>
      <c r="F20" s="5"/>
      <c r="G20" s="40">
        <f>VLOOKUP(YEAR($A20),Assumptions!$A$8:$D$13,4)-$G$10</f>
        <v>2.8849999999999998</v>
      </c>
      <c r="H20" s="7">
        <f>G20-VLOOKUP(YEAR($A20),Assumptions!$A$8:$H$12,8)</f>
        <v>2.2361684782608693</v>
      </c>
      <c r="I20" s="7" t="e">
        <f>VLOOKUP(YEAR($A20),Assumptions!$A$8:$G$15,7)*(MIN(N20,O20)-VLOOKUP(YEAR($A20),Assumptions!$A$8:$G$15,6))/VLOOKUP(YEAR($A20),Assumptions!$A$8:$H$15,5)</f>
        <v>#DIV/0!</v>
      </c>
      <c r="J20" s="11">
        <v>1</v>
      </c>
      <c r="K20" s="38">
        <f>IF(J20=0,MIN(G20,MAX(H20,I20)),IF(J20=-1,H20,IF(J20=-2,MIN(G20,I20),IF(J20=2,#REF!,G20))))</f>
        <v>2.8849999999999998</v>
      </c>
      <c r="L20" s="10">
        <f>K20*VLOOKUP(YEAR($A20),Assumptions!$A$8:$G$15,5)+VLOOKUP(YEAR($A20),Assumptions!$A$8:$G$15,6)</f>
        <v>0</v>
      </c>
      <c r="M20" s="62">
        <f t="shared" si="0"/>
        <v>-14.463402738927476</v>
      </c>
      <c r="N20" s="10">
        <f>VLOOKUP(YEAR($A20),Assumptions!$A$8:$C$19,2)*(Prices!B16*$N$10)+VLOOKUP(YEAR($A20),Assumptions!$A$8:$C$19,3)</f>
        <v>14.463402738927476</v>
      </c>
      <c r="O20" s="10">
        <f>$O$9*Prices!$F16+$O$10*Prices!$G16</f>
        <v>48.031803970223322</v>
      </c>
      <c r="P20" s="10"/>
    </row>
    <row r="21" spans="1:16">
      <c r="A21" s="1">
        <f>Prices!A17</f>
        <v>46235</v>
      </c>
      <c r="B21" s="7">
        <f>$C$7*(Prices!C17/$C$8)*(1+$C$9)</f>
        <v>2.0260273698884759</v>
      </c>
      <c r="C21" s="24">
        <v>0</v>
      </c>
      <c r="D21" s="38">
        <f>IF(C21=0,$C$10*VLOOKUP(YEAR($A21),Assumptions!$A$8:$J$31,10),B21)</f>
        <v>0.95291999999999999</v>
      </c>
      <c r="E21" s="10">
        <f>D21*Assumptions!$K$9+VLOOKUP(YEAR($A21),Assumptions!$A$8:$M$31,13)</f>
        <v>14.727317649518138</v>
      </c>
      <c r="F21" s="5"/>
      <c r="G21" s="40">
        <f>VLOOKUP(YEAR($A21),Assumptions!$A$8:$D$13,4)-$G$10</f>
        <v>2.8849999999999998</v>
      </c>
      <c r="H21" s="7">
        <f>G21-VLOOKUP(YEAR($A21),Assumptions!$A$8:$H$12,8)</f>
        <v>2.2361684782608693</v>
      </c>
      <c r="I21" s="7" t="e">
        <f>VLOOKUP(YEAR($A21),Assumptions!$A$8:$G$15,7)*(MIN(N21,O21)-VLOOKUP(YEAR($A21),Assumptions!$A$8:$G$15,6))/VLOOKUP(YEAR($A21),Assumptions!$A$8:$H$15,5)</f>
        <v>#DIV/0!</v>
      </c>
      <c r="J21" s="11">
        <v>1</v>
      </c>
      <c r="K21" s="38">
        <f>IF(J21=0,MIN(G21,MAX(H21,I21)),IF(J21=-1,H21,IF(J21=-2,MIN(G21,I21),IF(J21=2,#REF!,G21))))</f>
        <v>2.8849999999999998</v>
      </c>
      <c r="L21" s="10">
        <f>K21*VLOOKUP(YEAR($A21),Assumptions!$A$8:$G$15,5)+VLOOKUP(YEAR($A21),Assumptions!$A$8:$G$15,6)</f>
        <v>0</v>
      </c>
      <c r="M21" s="62">
        <f t="shared" si="0"/>
        <v>-19.319278341078011</v>
      </c>
      <c r="N21" s="10">
        <f>VLOOKUP(YEAR($A21),Assumptions!$A$8:$C$19,2)*(Prices!B17*$N$10)+VLOOKUP(YEAR($A21),Assumptions!$A$8:$C$19,3)</f>
        <v>19.319278341078011</v>
      </c>
      <c r="O21" s="10">
        <f>$O$9*Prices!$F17+$O$10*Prices!$G17</f>
        <v>60.325499999999998</v>
      </c>
      <c r="P21" s="10"/>
    </row>
    <row r="22" spans="1:16">
      <c r="A22" s="1">
        <f>Prices!A18</f>
        <v>46266</v>
      </c>
      <c r="B22" s="7">
        <f>$C$7*(Prices!C18/$C$8)*(1+$C$9)</f>
        <v>2.0423842881040888</v>
      </c>
      <c r="C22" s="24">
        <v>0</v>
      </c>
      <c r="D22" s="38">
        <f>IF(C22=0,$C$10*VLOOKUP(YEAR($A22),Assumptions!$A$8:$J$31,10),B22)</f>
        <v>0.95291999999999999</v>
      </c>
      <c r="E22" s="10">
        <f>D22*Assumptions!$K$9+VLOOKUP(YEAR($A22),Assumptions!$A$8:$M$31,13)</f>
        <v>14.727317649518138</v>
      </c>
      <c r="F22" s="5"/>
      <c r="G22" s="40">
        <f>VLOOKUP(YEAR($A22),Assumptions!$A$8:$D$13,4)-$G$10</f>
        <v>2.8849999999999998</v>
      </c>
      <c r="H22" s="7">
        <f>G22-VLOOKUP(YEAR($A22),Assumptions!$A$8:$H$12,8)</f>
        <v>2.2361684782608693</v>
      </c>
      <c r="I22" s="7" t="e">
        <f>VLOOKUP(YEAR($A22),Assumptions!$A$8:$G$15,7)*(MIN(N22,O22)-VLOOKUP(YEAR($A22),Assumptions!$A$8:$G$15,6))/VLOOKUP(YEAR($A22),Assumptions!$A$8:$H$15,5)</f>
        <v>#DIV/0!</v>
      </c>
      <c r="J22" s="11">
        <v>1</v>
      </c>
      <c r="K22" s="38">
        <f>IF(J22=0,MIN(G22,MAX(H22,I22)),IF(J22=-1,H22,IF(J22=-2,MIN(G22,I22),IF(J22=2,#REF!,G22))))</f>
        <v>2.8849999999999998</v>
      </c>
      <c r="L22" s="10">
        <f>K22*VLOOKUP(YEAR($A22),Assumptions!$A$8:$G$15,5)+VLOOKUP(YEAR($A22),Assumptions!$A$8:$G$15,6)</f>
        <v>0</v>
      </c>
      <c r="M22" s="62">
        <f t="shared" si="0"/>
        <v>-18.266483741078016</v>
      </c>
      <c r="N22" s="10">
        <f>VLOOKUP(YEAR($A22),Assumptions!$A$8:$C$19,2)*(Prices!B18*$N$10)+VLOOKUP(YEAR($A22),Assumptions!$A$8:$C$19,3)</f>
        <v>18.266483741078016</v>
      </c>
      <c r="O22" s="10">
        <f>$O$9*Prices!$F18+$O$10*Prices!$G18</f>
        <v>46.497500000000002</v>
      </c>
      <c r="P22" s="10"/>
    </row>
    <row r="23" spans="1:16">
      <c r="A23" s="1">
        <f>Prices!A19</f>
        <v>46296</v>
      </c>
      <c r="B23" s="7">
        <f>$C$7*(Prices!C19/$C$8)*(1+$C$9)</f>
        <v>2.0721241394052043</v>
      </c>
      <c r="C23" s="24">
        <v>0</v>
      </c>
      <c r="D23" s="38">
        <f>IF(C23=0,$C$10*VLOOKUP(YEAR($A23),Assumptions!$A$8:$J$31,10),B23)</f>
        <v>0.95291999999999999</v>
      </c>
      <c r="E23" s="10">
        <f>D23*Assumptions!$K$9+VLOOKUP(YEAR($A23),Assumptions!$A$8:$M$31,13)</f>
        <v>14.727317649518138</v>
      </c>
      <c r="F23" s="5"/>
      <c r="G23" s="40">
        <f>VLOOKUP(YEAR($A23),Assumptions!$A$8:$D$13,4)-$G$10</f>
        <v>2.8849999999999998</v>
      </c>
      <c r="H23" s="7">
        <f>G23-VLOOKUP(YEAR($A23),Assumptions!$A$8:$H$12,8)</f>
        <v>2.2361684782608693</v>
      </c>
      <c r="I23" s="7" t="e">
        <f>VLOOKUP(YEAR($A23),Assumptions!$A$8:$G$15,7)*(MIN(N23,O23)-VLOOKUP(YEAR($A23),Assumptions!$A$8:$G$15,6))/VLOOKUP(YEAR($A23),Assumptions!$A$8:$H$15,5)</f>
        <v>#DIV/0!</v>
      </c>
      <c r="J23" s="11">
        <v>1</v>
      </c>
      <c r="K23" s="38">
        <f>IF(J23=0,MIN(G23,MAX(H23,I23)),IF(J23=-1,H23,IF(J23=-2,MIN(G23,I23),IF(J23=2,#REF!,G23))))</f>
        <v>2.8849999999999998</v>
      </c>
      <c r="L23" s="10">
        <f>K23*VLOOKUP(YEAR($A23),Assumptions!$A$8:$G$15,5)+VLOOKUP(YEAR($A23),Assumptions!$A$8:$G$15,6)</f>
        <v>0</v>
      </c>
      <c r="M23" s="62">
        <f t="shared" si="0"/>
        <v>-17.198702741078016</v>
      </c>
      <c r="N23" s="10">
        <f>VLOOKUP(YEAR($A23),Assumptions!$A$8:$C$19,2)*(Prices!B19*$N$10)+VLOOKUP(YEAR($A23),Assumptions!$A$8:$C$19,3)</f>
        <v>17.198702741078016</v>
      </c>
      <c r="O23" s="10">
        <f>$O$9*Prices!$F19+$O$10*Prices!$G19</f>
        <v>35.508099999999999</v>
      </c>
      <c r="P23" s="10"/>
    </row>
    <row r="24" spans="1:16">
      <c r="A24" s="1">
        <f>Prices!A20</f>
        <v>46327</v>
      </c>
      <c r="B24" s="7">
        <f>$C$7*(Prices!C20/$C$8)*(1+$C$9)</f>
        <v>2.2334628327137547</v>
      </c>
      <c r="C24" s="24">
        <v>0</v>
      </c>
      <c r="D24" s="38">
        <f>IF(C24=0,$C$10*VLOOKUP(YEAR($A24),Assumptions!$A$8:$J$31,10),B24)</f>
        <v>0.95291999999999999</v>
      </c>
      <c r="E24" s="10">
        <f>D24*Assumptions!$K$9+VLOOKUP(YEAR($A24),Assumptions!$A$8:$M$31,13)</f>
        <v>14.727317649518138</v>
      </c>
      <c r="F24" s="5"/>
      <c r="G24" s="40">
        <f>VLOOKUP(YEAR($A24),Assumptions!$A$8:$D$13,4)-$G$10</f>
        <v>2.8849999999999998</v>
      </c>
      <c r="H24" s="7">
        <f>G24-VLOOKUP(YEAR($A24),Assumptions!$A$8:$H$12,8)</f>
        <v>2.2361684782608693</v>
      </c>
      <c r="I24" s="7" t="e">
        <f>VLOOKUP(YEAR($A24),Assumptions!$A$8:$G$15,7)*(MIN(N24,O24)-VLOOKUP(YEAR($A24),Assumptions!$A$8:$G$15,6))/VLOOKUP(YEAR($A24),Assumptions!$A$8:$H$15,5)</f>
        <v>#DIV/0!</v>
      </c>
      <c r="J24" s="11">
        <v>1</v>
      </c>
      <c r="K24" s="38">
        <f>IF(J24=0,MIN(G24,MAX(H24,I24)),IF(J24=-1,H24,IF(J24=-2,MIN(G24,I24),IF(J24=2,#REF!,G24))))</f>
        <v>2.8849999999999998</v>
      </c>
      <c r="L24" s="10">
        <f>K24*VLOOKUP(YEAR($A24),Assumptions!$A$8:$G$15,5)+VLOOKUP(YEAR($A24),Assumptions!$A$8:$G$15,6)</f>
        <v>0</v>
      </c>
      <c r="M24" s="62">
        <f t="shared" si="0"/>
        <v>-19.742644141078014</v>
      </c>
      <c r="N24" s="10">
        <f>VLOOKUP(YEAR($A24),Assumptions!$A$8:$C$19,2)*(Prices!B20*$N$10)+VLOOKUP(YEAR($A24),Assumptions!$A$8:$C$19,3)</f>
        <v>19.742644141078014</v>
      </c>
      <c r="O24" s="10">
        <f>$O$9*Prices!$F20+$O$10*Prices!$G20</f>
        <v>33.896000000000001</v>
      </c>
      <c r="P24" s="10"/>
    </row>
    <row r="25" spans="1:16">
      <c r="A25" s="1">
        <f>Prices!A21</f>
        <v>46357</v>
      </c>
      <c r="B25" s="7">
        <f>$C$7*(Prices!C21/$C$8)*(1+$C$9)</f>
        <v>2.7427577862453534</v>
      </c>
      <c r="C25" s="24">
        <v>0</v>
      </c>
      <c r="D25" s="38">
        <f>IF(C25=0,$C$10*VLOOKUP(YEAR($A25),Assumptions!$A$8:$J$31,10),B25)</f>
        <v>0.95291999999999999</v>
      </c>
      <c r="E25" s="10">
        <f>D25*Assumptions!$K$9+VLOOKUP(YEAR($A25),Assumptions!$A$8:$M$31,13)</f>
        <v>14.727317649518138</v>
      </c>
      <c r="F25" s="5"/>
      <c r="G25" s="40">
        <f>VLOOKUP(YEAR($A25),Assumptions!$A$8:$D$13,4)-$G$10</f>
        <v>2.8849999999999998</v>
      </c>
      <c r="H25" s="7">
        <f>G25-VLOOKUP(YEAR($A25),Assumptions!$A$8:$H$12,8)</f>
        <v>2.2361684782608693</v>
      </c>
      <c r="I25" s="7" t="e">
        <f>VLOOKUP(YEAR($A25),Assumptions!$A$8:$G$15,7)*(MIN(N25,O25)-VLOOKUP(YEAR($A25),Assumptions!$A$8:$G$15,6))/VLOOKUP(YEAR($A25),Assumptions!$A$8:$H$15,5)</f>
        <v>#DIV/0!</v>
      </c>
      <c r="J25" s="11">
        <v>1</v>
      </c>
      <c r="K25" s="38">
        <f>IF(J25=0,MIN(G25,MAX(H25,I25)),IF(J25=-1,H25,IF(J25=-2,MIN(G25,I25),IF(J25=2,#REF!,G25))))</f>
        <v>2.8849999999999998</v>
      </c>
      <c r="L25" s="10">
        <f>K25*VLOOKUP(YEAR($A25),Assumptions!$A$8:$G$15,5)+VLOOKUP(YEAR($A25),Assumptions!$A$8:$G$15,6)</f>
        <v>0</v>
      </c>
      <c r="M25" s="62">
        <f t="shared" si="0"/>
        <v>-29.296474141078015</v>
      </c>
      <c r="N25" s="10">
        <f>VLOOKUP(YEAR($A25),Assumptions!$A$8:$C$19,2)*(Prices!B21*$N$10)+VLOOKUP(YEAR($A25),Assumptions!$A$8:$C$19,3)</f>
        <v>29.296474141078015</v>
      </c>
      <c r="O25" s="10">
        <f>$O$9*Prices!$F21+$O$10*Prices!$G21</f>
        <v>42.749499999999998</v>
      </c>
      <c r="P25" s="10"/>
    </row>
    <row r="26" spans="1:16">
      <c r="A26" s="1">
        <f>Prices!A22</f>
        <v>46388</v>
      </c>
      <c r="B26" s="7">
        <f>$C$7*(Prices!C22/$C$8)*(1+$C$9)</f>
        <v>3.0966620167286245</v>
      </c>
      <c r="C26" s="24">
        <v>0</v>
      </c>
      <c r="D26" s="38">
        <f>IF(C26=0,$C$10*VLOOKUP(YEAR($A26),Assumptions!$A$8:$J$31,10),B26)</f>
        <v>0.92399999999999993</v>
      </c>
      <c r="E26" s="10">
        <f>D26*Assumptions!$K$9+VLOOKUP(YEAR($A26),Assumptions!$A$8:$M$31,13)</f>
        <v>14.575837703517751</v>
      </c>
      <c r="F26" s="5"/>
      <c r="G26" s="40">
        <f>VLOOKUP(YEAR($A26),Assumptions!$A$8:$D$13,4)-$G$10</f>
        <v>2.8849999999999998</v>
      </c>
      <c r="H26" s="7">
        <f>G26-VLOOKUP(YEAR($A26),Assumptions!$A$8:$H$12,8)</f>
        <v>2.2361684782608693</v>
      </c>
      <c r="I26" t="e">
        <f>VLOOKUP(YEAR($A26),Assumptions!$A$8:$G$15,7)*(MIN(N26,O26)-VLOOKUP(YEAR($A26),Assumptions!$A$8:$G$15,6))/VLOOKUP(YEAR($A26),Assumptions!$A$8:$H$15,5)</f>
        <v>#DIV/0!</v>
      </c>
      <c r="J26" s="11">
        <v>1</v>
      </c>
      <c r="K26" s="38">
        <f>IF(J26=0,MIN(G26,MAX(H26,I26)),IF(J26=-1,H26,IF(J26=-2,MIN(G26,I26),IF(J26=2,#REF!,G26))))</f>
        <v>2.8849999999999998</v>
      </c>
      <c r="L26" s="10">
        <f>K26*VLOOKUP(YEAR($A26),Assumptions!$A$8:$G$15,5)+VLOOKUP(YEAR($A26),Assumptions!$A$8:$G$15,6)</f>
        <v>0</v>
      </c>
      <c r="M26" s="62">
        <f t="shared" si="0"/>
        <v>-33.966520891029781</v>
      </c>
      <c r="N26" s="10">
        <f>VLOOKUP(YEAR($A26),Assumptions!$A$8:$C$19,2)*(Prices!B22*$N$10)+VLOOKUP(YEAR($A26),Assumptions!$A$8:$C$19,3)</f>
        <v>33.966520891029781</v>
      </c>
      <c r="O26" s="10">
        <f>$O$9*Prices!$F22+$O$10*Prices!$G22</f>
        <v>52.802399999999992</v>
      </c>
      <c r="P26" s="10"/>
    </row>
    <row r="27" spans="1:16">
      <c r="A27" s="1">
        <f>Prices!A23</f>
        <v>46419</v>
      </c>
      <c r="B27" s="7">
        <f>$C$7*(Prices!C23/$C$8)*(1+$C$9)</f>
        <v>2.8133899330855017</v>
      </c>
      <c r="C27" s="24">
        <v>0</v>
      </c>
      <c r="D27" s="38">
        <f>IF(C27=0,$C$10*VLOOKUP(YEAR($A27),Assumptions!$A$8:$J$31,10),B27)</f>
        <v>0.92399999999999993</v>
      </c>
      <c r="E27" s="10">
        <f>D27*Assumptions!$K$9+VLOOKUP(YEAR($A27),Assumptions!$A$8:$M$31,13)</f>
        <v>14.575837703517751</v>
      </c>
      <c r="F27" s="5"/>
      <c r="G27" s="40">
        <f>VLOOKUP(YEAR($A27),Assumptions!$A$8:$D$13,4)-$G$10</f>
        <v>2.8849999999999998</v>
      </c>
      <c r="H27" s="7">
        <f>G27-VLOOKUP(YEAR($A27),Assumptions!$A$8:$H$12,8)</f>
        <v>2.2361684782608693</v>
      </c>
      <c r="I27" s="7" t="e">
        <f>VLOOKUP(YEAR($A27),Assumptions!$A$8:$G$15,7)*(MIN(N27,O27)-VLOOKUP(YEAR($A27),Assumptions!$A$8:$G$15,6))/VLOOKUP(YEAR($A27),Assumptions!$A$8:$H$15,5)</f>
        <v>#DIV/0!</v>
      </c>
      <c r="J27" s="11">
        <v>1</v>
      </c>
      <c r="K27" s="38">
        <f>IF(J27=0,MIN(G27,MAX(H27,I27)),IF(J27=-1,H27,IF(J27=-2,MIN(G27,I27),IF(J27=2,#REF!,G27))))</f>
        <v>2.8849999999999998</v>
      </c>
      <c r="L27" s="10">
        <f>K27*VLOOKUP(YEAR($A27),Assumptions!$A$8:$G$15,5)+VLOOKUP(YEAR($A27),Assumptions!$A$8:$G$15,6)</f>
        <v>0</v>
      </c>
      <c r="M27" s="62">
        <f t="shared" si="0"/>
        <v>-31.317674691029779</v>
      </c>
      <c r="N27" s="10">
        <f>VLOOKUP(YEAR($A27),Assumptions!$A$8:$C$19,2)*(Prices!B23*$N$10)+VLOOKUP(YEAR($A27),Assumptions!$A$8:$C$19,3)</f>
        <v>31.317674691029779</v>
      </c>
      <c r="O27" s="10">
        <f>$O$9*Prices!$F23+$O$10*Prices!$G23</f>
        <v>44.0381</v>
      </c>
      <c r="P27" s="10"/>
    </row>
    <row r="28" spans="1:16">
      <c r="A28" s="1">
        <f>Prices!A24</f>
        <v>46447</v>
      </c>
      <c r="B28" s="7">
        <f>$C$7*(Prices!C24/$C$8)*(1+$C$9)</f>
        <v>2.2119014405204465</v>
      </c>
      <c r="C28" s="24">
        <v>0</v>
      </c>
      <c r="D28" s="38">
        <f>IF(C28=0,$C$10*VLOOKUP(YEAR($A28),Assumptions!$A$8:$J$31,10),B28)</f>
        <v>0.92399999999999993</v>
      </c>
      <c r="E28" s="10">
        <f>D28*Assumptions!$K$9+VLOOKUP(YEAR($A28),Assumptions!$A$8:$M$31,13)</f>
        <v>14.575837703517751</v>
      </c>
      <c r="F28" s="5"/>
      <c r="G28" s="40">
        <f>VLOOKUP(YEAR($A28),Assumptions!$A$8:$D$13,4)-$G$10</f>
        <v>2.8849999999999998</v>
      </c>
      <c r="H28" s="7">
        <f>G28-VLOOKUP(YEAR($A28),Assumptions!$A$8:$H$12,8)</f>
        <v>2.2361684782608693</v>
      </c>
      <c r="I28" s="7" t="e">
        <f>VLOOKUP(YEAR($A28),Assumptions!$A$8:$G$15,7)*(MIN(N28,O28)-VLOOKUP(YEAR($A28),Assumptions!$A$8:$G$15,6))/VLOOKUP(YEAR($A28),Assumptions!$A$8:$H$15,5)</f>
        <v>#DIV/0!</v>
      </c>
      <c r="J28" s="11">
        <v>1</v>
      </c>
      <c r="K28" s="38">
        <f>IF(J28=0,MIN(G28,MAX(H28,I28)),IF(J28=-1,H28,IF(J28=-2,MIN(G28,I28),IF(J28=2,#REF!,G28))))</f>
        <v>2.8849999999999998</v>
      </c>
      <c r="L28" s="10">
        <f>K28*VLOOKUP(YEAR($A28),Assumptions!$A$8:$G$15,5)+VLOOKUP(YEAR($A28),Assumptions!$A$8:$G$15,6)</f>
        <v>0</v>
      </c>
      <c r="M28" s="62">
        <f t="shared" si="0"/>
        <v>-19.129984891029782</v>
      </c>
      <c r="N28" s="10">
        <f>VLOOKUP(YEAR($A28),Assumptions!$A$8:$C$19,2)*(Prices!B24*$N$10)+VLOOKUP(YEAR($A28),Assumptions!$A$8:$C$19,3)</f>
        <v>19.129984891029782</v>
      </c>
      <c r="O28" s="10">
        <f>$O$9*Prices!$F24+$O$10*Prices!$G24</f>
        <v>29.275199999999998</v>
      </c>
      <c r="P28" s="10"/>
    </row>
    <row r="29" spans="1:16">
      <c r="A29" s="1">
        <f>Prices!A25</f>
        <v>46478</v>
      </c>
      <c r="B29" s="7">
        <f>$C$7*(Prices!C25/$C$8)*(1+$C$9)</f>
        <v>2.105581472118959</v>
      </c>
      <c r="C29" s="24">
        <v>0</v>
      </c>
      <c r="D29" s="38">
        <f>IF(C29=0,$C$10*VLOOKUP(YEAR($A29),Assumptions!$A$8:$J$31,10),B29)</f>
        <v>0.92399999999999993</v>
      </c>
      <c r="E29" s="10">
        <f>D29*Assumptions!$K$9+VLOOKUP(YEAR($A29),Assumptions!$A$8:$M$31,13)</f>
        <v>14.575837703517751</v>
      </c>
      <c r="F29" s="5"/>
      <c r="G29" s="40">
        <f>VLOOKUP(YEAR($A29),Assumptions!$A$8:$D$13,4)-$G$10</f>
        <v>2.8849999999999998</v>
      </c>
      <c r="H29" s="7">
        <f>G29-VLOOKUP(YEAR($A29),Assumptions!$A$8:$H$12,8)</f>
        <v>2.2361684782608693</v>
      </c>
      <c r="I29" s="7" t="e">
        <f>VLOOKUP(YEAR($A29),Assumptions!$A$8:$G$15,7)*(MIN(N29,O29)-VLOOKUP(YEAR($A29),Assumptions!$A$8:$G$15,6))/VLOOKUP(YEAR($A29),Assumptions!$A$8:$H$15,5)</f>
        <v>#DIV/0!</v>
      </c>
      <c r="J29" s="11">
        <v>1</v>
      </c>
      <c r="K29" s="38">
        <f>IF(J29=0,MIN(G29,MAX(H29,I29)),IF(J29=-1,H29,IF(J29=-2,MIN(G29,I29),IF(J29=2,#REF!,G29))))</f>
        <v>2.8849999999999998</v>
      </c>
      <c r="L29" s="10">
        <f>K29*VLOOKUP(YEAR($A29),Assumptions!$A$8:$G$15,5)+VLOOKUP(YEAR($A29),Assumptions!$A$8:$G$15,6)</f>
        <v>0</v>
      </c>
      <c r="M29" s="62">
        <f t="shared" si="0"/>
        <v>-15.435837291029777</v>
      </c>
      <c r="N29" s="10">
        <f>VLOOKUP(YEAR($A29),Assumptions!$A$8:$C$19,2)*(Prices!B25*$N$10)+VLOOKUP(YEAR($A29),Assumptions!$A$8:$C$19,3)</f>
        <v>15.435837291029777</v>
      </c>
      <c r="O29" s="10">
        <f>$O$9*Prices!$F25+$O$10*Prices!$G25</f>
        <v>27.778399999999998</v>
      </c>
      <c r="P29" s="10"/>
    </row>
    <row r="30" spans="1:16" ht="15" thickBot="1">
      <c r="A30" s="14">
        <f>Prices!A26</f>
        <v>46508</v>
      </c>
      <c r="B30" s="37">
        <f>$C$7*(Prices!C26/$C$8)*(1+$C$9)</f>
        <v>2.1070684646840148</v>
      </c>
      <c r="C30" s="36">
        <v>0</v>
      </c>
      <c r="D30" s="39">
        <f>IF(C30=0,$C$10*VLOOKUP(YEAR($A30),Assumptions!$A$8:$J$31,10),B30)</f>
        <v>0.92399999999999993</v>
      </c>
      <c r="E30" s="43">
        <f>D30*Assumptions!$K$9+VLOOKUP(YEAR($A30),Assumptions!$A$8:$M$31,13)</f>
        <v>14.575837703517751</v>
      </c>
      <c r="F30" s="5"/>
      <c r="G30" s="40">
        <f>VLOOKUP(YEAR($A30),Assumptions!$A$8:$D$13,4)-$G$10</f>
        <v>2.8849999999999998</v>
      </c>
      <c r="H30" s="7">
        <f>G30-VLOOKUP(YEAR($A30),Assumptions!$A$8:$H$12,8)</f>
        <v>2.2361684782608693</v>
      </c>
      <c r="I30" s="7" t="e">
        <f>VLOOKUP(YEAR($A30),Assumptions!$A$8:$G$15,7)*(MIN(N30,O30)-VLOOKUP(YEAR($A30),Assumptions!$A$8:$G$15,6))/VLOOKUP(YEAR($A30),Assumptions!$A$8:$H$15,5)</f>
        <v>#DIV/0!</v>
      </c>
      <c r="J30" s="11">
        <v>1</v>
      </c>
      <c r="K30" s="38">
        <f>IF(J30=0,MIN(G30,MAX(H30,I30)),IF(J30=-1,H30,IF(J30=-2,MIN(G30,I30),IF(J30=2,#REF!,G30))))</f>
        <v>2.8849999999999998</v>
      </c>
      <c r="L30" s="10">
        <f>K30*VLOOKUP(YEAR($A30),Assumptions!$A$8:$G$15,5)+VLOOKUP(YEAR($A30),Assumptions!$A$8:$G$15,6)</f>
        <v>0</v>
      </c>
      <c r="M30" s="62">
        <f t="shared" si="0"/>
        <v>-15.43209069102978</v>
      </c>
      <c r="N30" s="10">
        <f>VLOOKUP(YEAR($A30),Assumptions!$A$8:$C$19,2)*(Prices!B26*$N$10)+VLOOKUP(YEAR($A30),Assumptions!$A$8:$C$19,3)</f>
        <v>15.43209069102978</v>
      </c>
      <c r="O30" s="10">
        <f>$O$9*Prices!$F26+$O$10*Prices!$G26</f>
        <v>25.709499999999998</v>
      </c>
      <c r="P30" s="10"/>
    </row>
    <row r="31" spans="1:16">
      <c r="A31" s="1">
        <f>Prices!A27</f>
        <v>46539</v>
      </c>
      <c r="B31" s="7">
        <f>$C$7*(Prices!C27/$C$8)*(1+$C$9)</f>
        <v>2.208183959107807</v>
      </c>
      <c r="C31" s="24">
        <v>0</v>
      </c>
      <c r="D31" s="38">
        <f>IF(C31=0,$C$10*VLOOKUP(YEAR($A31),Assumptions!$A$8:$J$31,10),B31)</f>
        <v>0.92399999999999993</v>
      </c>
      <c r="E31" s="10">
        <f>D31*Assumptions!$K$9+VLOOKUP(YEAR($A31),Assumptions!$A$8:$M$31,13)</f>
        <v>14.575837703517751</v>
      </c>
      <c r="F31" s="5"/>
      <c r="G31" s="40">
        <f>VLOOKUP(YEAR($A31),Assumptions!$A$8:$D$13,4)-$G$10</f>
        <v>2.8849999999999998</v>
      </c>
      <c r="H31" s="7">
        <f>G31-VLOOKUP(YEAR($A31),Assumptions!$A$8:$H$12,8)</f>
        <v>2.2361684782608693</v>
      </c>
      <c r="I31" s="7" t="e">
        <f>VLOOKUP(YEAR($A31),Assumptions!$A$8:$G$15,7)*(MIN(N31,O31)-VLOOKUP(YEAR($A31),Assumptions!$A$8:$G$15,6))/VLOOKUP(YEAR($A31),Assumptions!$A$8:$H$15,5)</f>
        <v>#DIV/0!</v>
      </c>
      <c r="J31" s="11">
        <v>1</v>
      </c>
      <c r="K31" s="38">
        <f>IF(J31=0,MIN(G31,MAX(H31,I31)),IF(J31=-1,H31,IF(J31=-2,MIN(G31,I31),IF(J31=2,#REF!,G31))))</f>
        <v>2.8849999999999998</v>
      </c>
      <c r="L31" s="10">
        <f>K31*VLOOKUP(YEAR($A31),Assumptions!$A$8:$G$15,5)+VLOOKUP(YEAR($A31),Assumptions!$A$8:$G$15,6)</f>
        <v>0</v>
      </c>
      <c r="M31" s="62">
        <f t="shared" si="0"/>
        <v>-16.582296891029777</v>
      </c>
      <c r="N31" s="10">
        <f>VLOOKUP(YEAR($A31),Assumptions!$A$8:$C$19,2)*(Prices!B27*$N$10)+VLOOKUP(YEAR($A31),Assumptions!$A$8:$C$19,3)</f>
        <v>16.582296891029777</v>
      </c>
      <c r="O31" s="10">
        <f>$O$9*Prices!$F27+$O$10*Prices!$G27</f>
        <v>37.355199999999996</v>
      </c>
      <c r="P31" s="10"/>
    </row>
    <row r="32" spans="1:16">
      <c r="A32" s="1">
        <f>Prices!A28</f>
        <v>46569</v>
      </c>
      <c r="B32" s="7">
        <f>$C$7*(Prices!C28/$C$8)*(1+$C$9)</f>
        <v>2.3598572007434941</v>
      </c>
      <c r="C32" s="24">
        <v>0</v>
      </c>
      <c r="D32" s="38">
        <f>IF(C32=0,$C$10*VLOOKUP(YEAR($A32),Assumptions!$A$8:$J$31,10),B32)</f>
        <v>0.92399999999999993</v>
      </c>
      <c r="E32" s="10">
        <f>D32*Assumptions!$K$9+VLOOKUP(YEAR($A32),Assumptions!$A$8:$M$31,13)</f>
        <v>14.575837703517751</v>
      </c>
      <c r="F32" s="5"/>
      <c r="G32" s="40">
        <f>VLOOKUP(YEAR($A32),Assumptions!$A$8:$D$13,4)-$G$10</f>
        <v>2.8849999999999998</v>
      </c>
      <c r="H32" s="7">
        <f>G32-VLOOKUP(YEAR($A32),Assumptions!$A$8:$H$12,8)</f>
        <v>2.2361684782608693</v>
      </c>
      <c r="I32" s="7" t="e">
        <f>VLOOKUP(YEAR($A32),Assumptions!$A$8:$G$15,7)*(MIN(N32,O32)-VLOOKUP(YEAR($A32),Assumptions!$A$8:$G$15,6))/VLOOKUP(YEAR($A32),Assumptions!$A$8:$H$15,5)</f>
        <v>#DIV/0!</v>
      </c>
      <c r="J32" s="11">
        <v>1</v>
      </c>
      <c r="K32" s="38">
        <f>IF(J32=0,MIN(G32,MAX(H32,I32)),IF(J32=-1,H32,IF(J32=-2,MIN(G32,I32),IF(J32=2,#REF!,G32))))</f>
        <v>2.8849999999999998</v>
      </c>
      <c r="L32" s="10">
        <f>K32*VLOOKUP(YEAR($A32),Assumptions!$A$8:$G$15,5)+VLOOKUP(YEAR($A32),Assumptions!$A$8:$G$15,6)</f>
        <v>0</v>
      </c>
      <c r="M32" s="62">
        <f t="shared" si="0"/>
        <v>-21.239320691029782</v>
      </c>
      <c r="N32" s="10">
        <f>VLOOKUP(YEAR($A32),Assumptions!$A$8:$C$19,2)*(Prices!B28*$N$10)+VLOOKUP(YEAR($A32),Assumptions!$A$8:$C$19,3)</f>
        <v>21.239320691029782</v>
      </c>
      <c r="O32" s="10">
        <f>$O$9*Prices!$F28+$O$10*Prices!$G28</f>
        <v>63.384399999999992</v>
      </c>
      <c r="P32" s="10"/>
    </row>
    <row r="33" spans="1:16">
      <c r="A33" s="1">
        <f>Prices!A29</f>
        <v>46600</v>
      </c>
      <c r="B33" s="7">
        <f>$C$7*(Prices!C29/$C$8)*(1+$C$9)</f>
        <v>2.4081844591078063</v>
      </c>
      <c r="C33" s="24">
        <v>0</v>
      </c>
      <c r="D33" s="38">
        <f>IF(C33=0,$C$10*VLOOKUP(YEAR($A33),Assumptions!$A$8:$J$31,10),B33)</f>
        <v>0.92399999999999993</v>
      </c>
      <c r="E33" s="10">
        <f>D33*Assumptions!$K$9+VLOOKUP(YEAR($A33),Assumptions!$A$8:$M$31,13)</f>
        <v>14.575837703517751</v>
      </c>
      <c r="F33" s="5"/>
      <c r="G33" s="40">
        <f>VLOOKUP(YEAR($A33),Assumptions!$A$8:$D$13,4)-$G$10</f>
        <v>2.8849999999999998</v>
      </c>
      <c r="H33" s="7">
        <f>G33-VLOOKUP(YEAR($A33),Assumptions!$A$8:$H$12,8)</f>
        <v>2.2361684782608693</v>
      </c>
      <c r="I33" s="7" t="e">
        <f>VLOOKUP(YEAR($A33),Assumptions!$A$8:$G$15,7)*(MIN(N33,O33)-VLOOKUP(YEAR($A33),Assumptions!$A$8:$G$15,6))/VLOOKUP(YEAR($A33),Assumptions!$A$8:$H$15,5)</f>
        <v>#DIV/0!</v>
      </c>
      <c r="J33" s="11">
        <v>1</v>
      </c>
      <c r="K33" s="38">
        <f>IF(J33=0,MIN(G33,MAX(H33,I33)),IF(J33=-1,H33,IF(J33=-2,MIN(G33,I33),IF(J33=2,#REF!,G33))))</f>
        <v>2.8849999999999998</v>
      </c>
      <c r="L33" s="10">
        <f>K33*VLOOKUP(YEAR($A33),Assumptions!$A$8:$G$15,5)+VLOOKUP(YEAR($A33),Assumptions!$A$8:$G$15,6)</f>
        <v>0</v>
      </c>
      <c r="M33" s="62">
        <f t="shared" si="0"/>
        <v>-21.80131069102978</v>
      </c>
      <c r="N33" s="10">
        <f>VLOOKUP(YEAR($A33),Assumptions!$A$8:$C$19,2)*(Prices!B29*$N$10)+VLOOKUP(YEAR($A33),Assumptions!$A$8:$C$19,3)</f>
        <v>21.80131069102978</v>
      </c>
      <c r="O33" s="10">
        <f>$O$9*Prices!$F29+$O$10*Prices!$G29</f>
        <v>69.191000000000003</v>
      </c>
      <c r="P33" s="10"/>
    </row>
    <row r="34" spans="1:16">
      <c r="A34" s="1">
        <f>Prices!A30</f>
        <v>46631</v>
      </c>
      <c r="B34" s="7">
        <f>$C$7*(Prices!C30/$C$8)*(1+$C$9)</f>
        <v>2.3910840446096655</v>
      </c>
      <c r="C34" s="24">
        <v>0</v>
      </c>
      <c r="D34" s="38">
        <f>IF(C34=0,$C$10*VLOOKUP(YEAR($A34),Assumptions!$A$8:$J$31,10),B34)</f>
        <v>0.92399999999999993</v>
      </c>
      <c r="E34" s="10">
        <f>D34*Assumptions!$K$9+VLOOKUP(YEAR($A34),Assumptions!$A$8:$M$31,13)</f>
        <v>14.575837703517751</v>
      </c>
      <c r="F34" s="5"/>
      <c r="G34" s="40">
        <f>VLOOKUP(YEAR($A34),Assumptions!$A$8:$D$13,4)-$G$10</f>
        <v>2.8849999999999998</v>
      </c>
      <c r="H34" s="7">
        <f>G34-VLOOKUP(YEAR($A34),Assumptions!$A$8:$H$12,8)</f>
        <v>2.2361684782608693</v>
      </c>
      <c r="I34" s="7" t="e">
        <f>VLOOKUP(YEAR($A34),Assumptions!$A$8:$G$15,7)*(MIN(N34,O34)-VLOOKUP(YEAR($A34),Assumptions!$A$8:$G$15,6))/VLOOKUP(YEAR($A34),Assumptions!$A$8:$H$15,5)</f>
        <v>#DIV/0!</v>
      </c>
      <c r="J34" s="11">
        <v>1</v>
      </c>
      <c r="K34" s="38">
        <f>IF(J34=0,MIN(G34,MAX(H34,I34)),IF(J34=-1,H34,IF(J34=-2,MIN(G34,I34),IF(J34=2,#REF!,G34))))</f>
        <v>2.8849999999999998</v>
      </c>
      <c r="L34" s="10">
        <f>K34*VLOOKUP(YEAR($A34),Assumptions!$A$8:$G$15,5)+VLOOKUP(YEAR($A34),Assumptions!$A$8:$G$15,6)</f>
        <v>0</v>
      </c>
      <c r="M34" s="62">
        <f t="shared" si="0"/>
        <v>-21.141909091029781</v>
      </c>
      <c r="N34" s="10">
        <f>VLOOKUP(YEAR($A34),Assumptions!$A$8:$C$19,2)*(Prices!B30*$N$10)+VLOOKUP(YEAR($A34),Assumptions!$A$8:$C$19,3)</f>
        <v>21.141909091029781</v>
      </c>
      <c r="O34" s="10">
        <f>$O$9*Prices!$F30+$O$10*Prices!$G30</f>
        <v>59.018199999999993</v>
      </c>
      <c r="P34" s="10"/>
    </row>
    <row r="35" spans="1:16">
      <c r="A35" s="1">
        <f>Prices!A31</f>
        <v>46661</v>
      </c>
      <c r="B35" s="7">
        <f>$C$7*(Prices!C31/$C$8)*(1+$C$9)</f>
        <v>2.4461027695167288</v>
      </c>
      <c r="C35" s="24">
        <v>0</v>
      </c>
      <c r="D35" s="38">
        <f>IF(C35=0,$C$10*VLOOKUP(YEAR($A35),Assumptions!$A$8:$J$31,10),B35)</f>
        <v>0.92399999999999993</v>
      </c>
      <c r="E35" s="10">
        <f>D35*Assumptions!$K$9+VLOOKUP(YEAR($A35),Assumptions!$A$8:$M$31,13)</f>
        <v>14.575837703517751</v>
      </c>
      <c r="F35" s="5"/>
      <c r="G35" s="40">
        <f>VLOOKUP(YEAR($A35),Assumptions!$A$8:$D$13,4)-$G$10</f>
        <v>2.8849999999999998</v>
      </c>
      <c r="H35" s="7">
        <f>G35-VLOOKUP(YEAR($A35),Assumptions!$A$8:$H$12,8)</f>
        <v>2.2361684782608693</v>
      </c>
      <c r="I35" s="7" t="e">
        <f>VLOOKUP(YEAR($A35),Assumptions!$A$8:$G$15,7)*(MIN(N35,O35)-VLOOKUP(YEAR($A35),Assumptions!$A$8:$G$15,6))/VLOOKUP(YEAR($A35),Assumptions!$A$8:$H$15,5)</f>
        <v>#DIV/0!</v>
      </c>
      <c r="J35" s="11">
        <v>1</v>
      </c>
      <c r="K35" s="38">
        <f>IF(J35=0,MIN(G35,MAX(H35,I35)),IF(J35=-1,H35,IF(J35=-2,MIN(G35,I35),IF(J35=2,#REF!,G35))))</f>
        <v>2.8849999999999998</v>
      </c>
      <c r="L35" s="10">
        <f>K35*VLOOKUP(YEAR($A35),Assumptions!$A$8:$G$15,5)+VLOOKUP(YEAR($A35),Assumptions!$A$8:$G$15,6)</f>
        <v>0</v>
      </c>
      <c r="M35" s="62">
        <f t="shared" si="0"/>
        <v>-20.36636289102978</v>
      </c>
      <c r="N35" s="10">
        <f>VLOOKUP(YEAR($A35),Assumptions!$A$8:$C$19,2)*(Prices!B31*$N$10)+VLOOKUP(YEAR($A35),Assumptions!$A$8:$C$19,3)</f>
        <v>20.36636289102978</v>
      </c>
      <c r="O35" s="10">
        <f>$O$9*Prices!$F31+$O$10*Prices!$G31</f>
        <v>46.771599999999992</v>
      </c>
      <c r="P35" s="10"/>
    </row>
    <row r="36" spans="1:16">
      <c r="A36" s="1">
        <f>Prices!A32</f>
        <v>46692</v>
      </c>
      <c r="B36" s="7">
        <f>$C$7*(Prices!C32/$C$8)*(1+$C$9)</f>
        <v>2.6230548847583646</v>
      </c>
      <c r="C36" s="24">
        <v>0</v>
      </c>
      <c r="D36" s="38">
        <f>IF(C36=0,$C$10*VLOOKUP(YEAR($A36),Assumptions!$A$8:$J$31,10),B36)</f>
        <v>0.92399999999999993</v>
      </c>
      <c r="E36" s="10">
        <f>D36*Assumptions!$K$9+VLOOKUP(YEAR($A36),Assumptions!$A$8:$M$31,13)</f>
        <v>14.575837703517751</v>
      </c>
      <c r="F36" s="5"/>
      <c r="G36" s="40">
        <f>VLOOKUP(YEAR($A36),Assumptions!$A$8:$D$13,4)-$G$10</f>
        <v>2.8849999999999998</v>
      </c>
      <c r="H36" s="7">
        <f>G36-VLOOKUP(YEAR($A36),Assumptions!$A$8:$H$12,8)</f>
        <v>2.2361684782608693</v>
      </c>
      <c r="I36" s="7" t="e">
        <f>VLOOKUP(YEAR($A36),Assumptions!$A$8:$G$15,7)*(MIN(N36,O36)-VLOOKUP(YEAR($A36),Assumptions!$A$8:$G$15,6))/VLOOKUP(YEAR($A36),Assumptions!$A$8:$H$15,5)</f>
        <v>#DIV/0!</v>
      </c>
      <c r="J36" s="11">
        <v>1</v>
      </c>
      <c r="K36" s="38">
        <f>IF(J36=0,MIN(G36,MAX(H36,I36)),IF(J36=-1,H36,IF(J36=-2,MIN(G36,I36),IF(J36=2,#REF!,G36))))</f>
        <v>2.8849999999999998</v>
      </c>
      <c r="L36" s="10">
        <f>K36*VLOOKUP(YEAR($A36),Assumptions!$A$8:$G$15,5)+VLOOKUP(YEAR($A36),Assumptions!$A$8:$G$15,6)</f>
        <v>0</v>
      </c>
      <c r="M36" s="62">
        <f t="shared" si="0"/>
        <v>-24.060510491029781</v>
      </c>
      <c r="N36" s="10">
        <f>VLOOKUP(YEAR($A36),Assumptions!$A$8:$C$19,2)*(Prices!B32*$N$10)+VLOOKUP(YEAR($A36),Assumptions!$A$8:$C$19,3)</f>
        <v>24.060510491029781</v>
      </c>
      <c r="O36" s="10">
        <f>$O$9*Prices!$F32+$O$10*Prices!$G32</f>
        <v>46.640900000000002</v>
      </c>
      <c r="P36" s="10"/>
    </row>
    <row r="37" spans="1:16">
      <c r="A37" s="1">
        <f>Prices!A33</f>
        <v>46722</v>
      </c>
      <c r="B37" s="7">
        <f>$C$7*(Prices!C33/$C$8)*(1+$C$9)</f>
        <v>3.1130189349442383</v>
      </c>
      <c r="C37" s="24">
        <v>0</v>
      </c>
      <c r="D37" s="38">
        <f>IF(C37=0,$C$10*VLOOKUP(YEAR($A37),Assumptions!$A$8:$J$31,10),B37)</f>
        <v>0.92399999999999993</v>
      </c>
      <c r="E37" s="10">
        <f>D37*Assumptions!$K$9+VLOOKUP(YEAR($A37),Assumptions!$A$8:$M$31,13)</f>
        <v>14.575837703517751</v>
      </c>
      <c r="F37" s="5"/>
      <c r="G37" s="40">
        <f>VLOOKUP(YEAR($A37),Assumptions!$A$8:$D$13,4)-$G$10</f>
        <v>2.8849999999999998</v>
      </c>
      <c r="H37" s="7">
        <f>G37-VLOOKUP(YEAR($A37),Assumptions!$A$8:$H$12,8)</f>
        <v>2.2361684782608693</v>
      </c>
      <c r="I37" s="7" t="e">
        <f>VLOOKUP(YEAR($A37),Assumptions!$A$8:$G$15,7)*(MIN(N37,O37)-VLOOKUP(YEAR($A37),Assumptions!$A$8:$G$15,6))/VLOOKUP(YEAR($A37),Assumptions!$A$8:$H$15,5)</f>
        <v>#DIV/0!</v>
      </c>
      <c r="J37" s="11">
        <v>1</v>
      </c>
      <c r="K37" s="38">
        <f>IF(J37=0,MIN(G37,MAX(H37,I37)),IF(J37=-1,H37,IF(J37=-2,MIN(G37,I37),IF(J37=2,#REF!,G37))))</f>
        <v>2.8849999999999998</v>
      </c>
      <c r="L37" s="10">
        <f>K37*VLOOKUP(YEAR($A37),Assumptions!$A$8:$G$15,5)+VLOOKUP(YEAR($A37),Assumptions!$A$8:$G$15,6)</f>
        <v>0</v>
      </c>
      <c r="M37" s="62">
        <f t="shared" si="0"/>
        <v>-33.794177291029783</v>
      </c>
      <c r="N37" s="10">
        <f>VLOOKUP(YEAR($A37),Assumptions!$A$8:$C$19,2)*(Prices!B33*$N$10)+VLOOKUP(YEAR($A37),Assumptions!$A$8:$C$19,3)</f>
        <v>33.794177291029783</v>
      </c>
      <c r="O37" s="10">
        <f>$O$9*Prices!$F33+$O$10*Prices!$G33</f>
        <v>55.564499999999995</v>
      </c>
      <c r="P37" s="10"/>
    </row>
    <row r="38" spans="1:16">
      <c r="A38" s="1">
        <f>Prices!A34</f>
        <v>46753</v>
      </c>
      <c r="B38" s="7">
        <f>$C$7*(Prices!C34/$C$8)*(1+$C$9)</f>
        <v>3.451309743494424</v>
      </c>
      <c r="C38" s="24">
        <v>0</v>
      </c>
      <c r="D38" s="38">
        <f>IF(C38=0,$C$10*VLOOKUP(YEAR($A38),Assumptions!$A$8:$J$31,10),B38)</f>
        <v>0.96</v>
      </c>
      <c r="E38" s="10">
        <f>D38*Assumptions!$K$9+VLOOKUP(YEAR($A38),Assumptions!$A$8:$M$31,13)</f>
        <v>15.059734008739657</v>
      </c>
      <c r="F38" s="5"/>
      <c r="G38" s="40">
        <f>VLOOKUP(YEAR($A38),Assumptions!$A$8:$D$13,4)-$G$10</f>
        <v>2.8849999999999998</v>
      </c>
      <c r="H38" s="7">
        <f>G38-VLOOKUP(YEAR($A38),Assumptions!$A$8:$H$12,8)</f>
        <v>2.2361684782608693</v>
      </c>
      <c r="I38" t="e">
        <f>VLOOKUP(YEAR($A38),Assumptions!$A$8:$G$15,7)*(MIN(N38,O38)-VLOOKUP(YEAR($A38),Assumptions!$A$8:$G$15,6))/VLOOKUP(YEAR($A38),Assumptions!$A$8:$H$15,5)</f>
        <v>#DIV/0!</v>
      </c>
      <c r="J38" s="11">
        <v>1</v>
      </c>
      <c r="K38" s="38">
        <f>IF(J38=0,MIN(G38,MAX(H38,I38)),IF(J38=-1,H38,IF(J38=-2,MIN(G38,I38),IF(J38=2,#REF!,G38))))</f>
        <v>2.8849999999999998</v>
      </c>
      <c r="L38" s="10">
        <f>K38*VLOOKUP(YEAR($A38),Assumptions!$A$8:$G$15,5)+VLOOKUP(YEAR($A38),Assumptions!$A$8:$G$15,6)</f>
        <v>0</v>
      </c>
      <c r="M38" s="62"/>
      <c r="N38" s="10">
        <f>VLOOKUP(YEAR($A38),Assumptions!$A$8:$C$19,2)*(Prices!B34*$N$10)+VLOOKUP(YEAR($A38),Assumptions!$A$8:$C$19,3)</f>
        <v>38.326448351925393</v>
      </c>
      <c r="O38" s="10">
        <f>$O$9*Prices!$F34+$O$10*Prices!$G34</f>
        <v>65.416199999999989</v>
      </c>
      <c r="P38" s="10"/>
    </row>
    <row r="39" spans="1:16">
      <c r="A39" s="1">
        <f>Prices!A35</f>
        <v>46784</v>
      </c>
      <c r="B39" s="7">
        <f>$C$7*(Prices!C35/$C$8)*(1+$C$9)</f>
        <v>3.1338368308550186</v>
      </c>
      <c r="C39" s="24">
        <v>0</v>
      </c>
      <c r="D39" s="38">
        <f>IF(C39=0,$C$10*VLOOKUP(YEAR($A39),Assumptions!$A$8:$J$31,10),B39)</f>
        <v>0.96</v>
      </c>
      <c r="E39" s="10">
        <f>D39*Assumptions!$K$9+VLOOKUP(YEAR($A39),Assumptions!$A$8:$M$31,13)</f>
        <v>15.059734008739657</v>
      </c>
      <c r="F39" s="5"/>
      <c r="G39" s="40">
        <f>VLOOKUP(YEAR($A39),Assumptions!$A$8:$D$13,4)-$G$10</f>
        <v>2.8849999999999998</v>
      </c>
      <c r="H39" s="7">
        <f>G39-VLOOKUP(YEAR($A39),Assumptions!$A$8:$H$12,8)</f>
        <v>2.2361684782608693</v>
      </c>
      <c r="I39" s="7" t="e">
        <f>VLOOKUP(YEAR($A39),Assumptions!$A$8:$G$15,7)*(MIN(N39,O39)-VLOOKUP(YEAR($A39),Assumptions!$A$8:$G$15,6))/VLOOKUP(YEAR($A39),Assumptions!$A$8:$H$15,5)</f>
        <v>#DIV/0!</v>
      </c>
      <c r="J39" s="11">
        <v>1</v>
      </c>
      <c r="K39" s="38">
        <f>IF(J39=0,MIN(G39,MAX(H39,I39)),IF(J39=-1,H39,IF(J39=-2,MIN(G39,I39),IF(J39=2,#REF!,G39))))</f>
        <v>2.8849999999999998</v>
      </c>
      <c r="L39" s="10">
        <f>K39*VLOOKUP(YEAR($A39),Assumptions!$A$8:$G$15,5)+VLOOKUP(YEAR($A39),Assumptions!$A$8:$G$15,6)</f>
        <v>0</v>
      </c>
      <c r="M39" s="62"/>
      <c r="N39" s="10">
        <f>VLOOKUP(YEAR($A39),Assumptions!$A$8:$C$19,2)*(Prices!B35*$N$10)+VLOOKUP(YEAR($A39),Assumptions!$A$8:$C$19,3)</f>
        <v>33.984138951925388</v>
      </c>
      <c r="O39" s="10">
        <f>$O$9*Prices!$F35+$O$10*Prices!$G35</f>
        <v>57.188699999999997</v>
      </c>
      <c r="P39" s="10"/>
    </row>
    <row r="40" spans="1:16">
      <c r="A40" s="1">
        <f>Prices!A36</f>
        <v>46813</v>
      </c>
      <c r="B40" s="7">
        <f>$C$7*(Prices!C36/$C$8)*(1+$C$9)</f>
        <v>2.547218263940521</v>
      </c>
      <c r="C40" s="24">
        <v>0</v>
      </c>
      <c r="D40" s="38">
        <f>IF(C40=0,$C$10*VLOOKUP(YEAR($A40),Assumptions!$A$8:$J$31,10),B40)</f>
        <v>0.96</v>
      </c>
      <c r="E40" s="10">
        <f>D40*Assumptions!$K$9+VLOOKUP(YEAR($A40),Assumptions!$A$8:$M$31,13)</f>
        <v>15.059734008739657</v>
      </c>
      <c r="F40" s="5"/>
      <c r="G40" s="40">
        <f>VLOOKUP(YEAR($A40),Assumptions!$A$8:$D$13,4)-$G$10</f>
        <v>2.8849999999999998</v>
      </c>
      <c r="H40" s="7">
        <f>G40-VLOOKUP(YEAR($A40),Assumptions!$A$8:$H$12,8)</f>
        <v>2.2361684782608693</v>
      </c>
      <c r="I40" s="7" t="e">
        <f>VLOOKUP(YEAR($A40),Assumptions!$A$8:$G$15,7)*(MIN(N40,O40)-VLOOKUP(YEAR($A40),Assumptions!$A$8:$G$15,6))/VLOOKUP(YEAR($A40),Assumptions!$A$8:$H$15,5)</f>
        <v>#DIV/0!</v>
      </c>
      <c r="J40" s="11">
        <v>1</v>
      </c>
      <c r="K40" s="38">
        <f>IF(J40=0,MIN(G40,MAX(H40,I40)),IF(J40=-1,H40,IF(J40=-2,MIN(G40,I40),IF(J40=2,#REF!,G40))))</f>
        <v>2.8849999999999998</v>
      </c>
      <c r="L40" s="10">
        <f>K40*VLOOKUP(YEAR($A40),Assumptions!$A$8:$G$15,5)+VLOOKUP(YEAR($A40),Assumptions!$A$8:$G$15,6)</f>
        <v>0</v>
      </c>
      <c r="M40" s="62"/>
      <c r="N40" s="10">
        <f>VLOOKUP(YEAR($A40),Assumptions!$A$8:$C$19,2)*(Prices!B36*$N$10)+VLOOKUP(YEAR($A40),Assumptions!$A$8:$C$19,3)</f>
        <v>23.238890151925393</v>
      </c>
      <c r="O40" s="10">
        <f>$O$9*Prices!$F36+$O$10*Prices!$G36</f>
        <v>36.105599999999995</v>
      </c>
      <c r="P40" s="10"/>
    </row>
    <row r="41" spans="1:16">
      <c r="A41" s="1">
        <f>Prices!A37</f>
        <v>46844</v>
      </c>
      <c r="B41" s="7">
        <f>$C$7*(Prices!C37/$C$8)*(1+$C$9)</f>
        <v>2.3449872750929366</v>
      </c>
      <c r="C41" s="24">
        <v>0</v>
      </c>
      <c r="D41" s="38">
        <f>IF(C41=0,$C$10*VLOOKUP(YEAR($A41),Assumptions!$A$8:$J$31,10),B41)</f>
        <v>0.96</v>
      </c>
      <c r="E41" s="10">
        <f>D41*Assumptions!$K$9+VLOOKUP(YEAR($A41),Assumptions!$A$8:$M$31,13)</f>
        <v>15.059734008739657</v>
      </c>
      <c r="F41" s="5"/>
      <c r="G41" s="40">
        <f>VLOOKUP(YEAR($A41),Assumptions!$A$8:$D$13,4)-$G$10</f>
        <v>2.8849999999999998</v>
      </c>
      <c r="H41" s="7">
        <f>G41-VLOOKUP(YEAR($A41),Assumptions!$A$8:$H$12,8)</f>
        <v>2.2361684782608693</v>
      </c>
      <c r="I41" s="7" t="e">
        <f>VLOOKUP(YEAR($A41),Assumptions!$A$8:$G$15,7)*(MIN(N41,O41)-VLOOKUP(YEAR($A41),Assumptions!$A$8:$G$15,6))/VLOOKUP(YEAR($A41),Assumptions!$A$8:$H$15,5)</f>
        <v>#DIV/0!</v>
      </c>
      <c r="J41" s="11">
        <v>1</v>
      </c>
      <c r="K41" s="38">
        <f>IF(J41=0,MIN(G41,MAX(H41,I41)),IF(J41=-1,H41,IF(J41=-2,MIN(G41,I41),IF(J41=2,#REF!,G41))))</f>
        <v>2.8849999999999998</v>
      </c>
      <c r="L41" s="10">
        <f>K41*VLOOKUP(YEAR($A41),Assumptions!$A$8:$G$15,5)+VLOOKUP(YEAR($A41),Assumptions!$A$8:$G$15,6)</f>
        <v>0</v>
      </c>
      <c r="M41" s="62"/>
      <c r="N41" s="10">
        <f>VLOOKUP(YEAR($A41),Assumptions!$A$8:$C$19,2)*(Prices!B37*$N$10)+VLOOKUP(YEAR($A41),Assumptions!$A$8:$C$19,3)</f>
        <v>20.039293751925392</v>
      </c>
      <c r="O41" s="10">
        <f>$O$9*Prices!$F37+$O$10*Prices!$G37</f>
        <v>30.878599999999999</v>
      </c>
      <c r="P41" s="10"/>
    </row>
    <row r="42" spans="1:16" ht="15" thickBot="1">
      <c r="A42" s="14">
        <f>Prices!A38</f>
        <v>46874</v>
      </c>
      <c r="B42" s="37">
        <f>$C$7*(Prices!C38/$C$8)*(1+$C$9)</f>
        <v>2.3286303568773237</v>
      </c>
      <c r="C42" s="36">
        <v>0</v>
      </c>
      <c r="D42" s="39">
        <f>IF(C42=0,$C$10*VLOOKUP(YEAR($A42),Assumptions!$A$8:$J$31,10),B42)</f>
        <v>0.96</v>
      </c>
      <c r="E42" s="43">
        <f>D42*Assumptions!$K$9+VLOOKUP(YEAR($A42),Assumptions!$A$8:$M$31,13)</f>
        <v>15.059734008739657</v>
      </c>
      <c r="F42" s="5"/>
      <c r="G42" s="40">
        <f>VLOOKUP(YEAR($A42),Assumptions!$A$8:$D$13,4)-$G$10</f>
        <v>2.8849999999999998</v>
      </c>
      <c r="H42" s="7">
        <f>G42-VLOOKUP(YEAR($A42),Assumptions!$A$8:$H$12,8)</f>
        <v>2.2361684782608693</v>
      </c>
      <c r="I42" s="7" t="e">
        <f>VLOOKUP(YEAR($A42),Assumptions!$A$8:$G$15,7)*(MIN(N42,O42)-VLOOKUP(YEAR($A42),Assumptions!$A$8:$G$15,6))/VLOOKUP(YEAR($A42),Assumptions!$A$8:$H$15,5)</f>
        <v>#DIV/0!</v>
      </c>
      <c r="J42" s="11">
        <v>1</v>
      </c>
      <c r="K42" s="38">
        <f>IF(J42=0,MIN(G42,MAX(H42,I42)),IF(J42=-1,H42,IF(J42=-2,MIN(G42,I42),IF(J42=2,#REF!,G42))))</f>
        <v>2.8849999999999998</v>
      </c>
      <c r="L42" s="10">
        <f>K42*VLOOKUP(YEAR($A42),Assumptions!$A$8:$G$15,5)+VLOOKUP(YEAR($A42),Assumptions!$A$8:$G$15,6)</f>
        <v>0</v>
      </c>
      <c r="M42" s="62"/>
      <c r="N42" s="10">
        <f>VLOOKUP(YEAR($A42),Assumptions!$A$8:$C$19,2)*(Prices!B38*$N$10)+VLOOKUP(YEAR($A42),Assumptions!$A$8:$C$19,3)</f>
        <v>18.61933235192539</v>
      </c>
      <c r="O42" s="10">
        <f>$O$9*Prices!$F38+$O$10*Prices!$G38</f>
        <v>31.766500000000001</v>
      </c>
      <c r="P42" s="10"/>
    </row>
    <row r="43" spans="1:16">
      <c r="A43" s="1">
        <f>Prices!A39</f>
        <v>46905</v>
      </c>
      <c r="B43" s="7">
        <f>$C$7*(Prices!C39/$C$8)*(1+$C$9)</f>
        <v>2.4267718661710038</v>
      </c>
      <c r="C43" s="24">
        <v>0</v>
      </c>
      <c r="D43" s="38">
        <f>IF(C43=0,$C$10*VLOOKUP(YEAR($A43),Assumptions!$A$8:$J$31,10),B43)</f>
        <v>0.96</v>
      </c>
      <c r="E43" s="10">
        <f>D43*Assumptions!$K$9+VLOOKUP(YEAR($A43),Assumptions!$A$8:$M$31,13)</f>
        <v>15.059734008739657</v>
      </c>
      <c r="F43" s="5"/>
      <c r="G43" s="40">
        <f>VLOOKUP(YEAR($A43),Assumptions!$A$8:$D$13,4)-$G$10</f>
        <v>2.8849999999999998</v>
      </c>
      <c r="H43" s="7">
        <f>G43-VLOOKUP(YEAR($A43),Assumptions!$A$8:$H$12,8)</f>
        <v>2.2361684782608693</v>
      </c>
      <c r="I43" s="7" t="e">
        <f>VLOOKUP(YEAR($A43),Assumptions!$A$8:$G$15,7)*(MIN(N43,O43)-VLOOKUP(YEAR($A43),Assumptions!$A$8:$G$15,6))/VLOOKUP(YEAR($A43),Assumptions!$A$8:$H$15,5)</f>
        <v>#DIV/0!</v>
      </c>
      <c r="J43" s="11">
        <v>1</v>
      </c>
      <c r="K43" s="38">
        <f>IF(J43=0,MIN(G43,MAX(H43,I43)),IF(J43=-1,H43,IF(J43=-2,MIN(G43,I43),IF(J43=2,#REF!,G43))))</f>
        <v>2.8849999999999998</v>
      </c>
      <c r="L43" s="10">
        <f>K43*VLOOKUP(YEAR($A43),Assumptions!$A$8:$G$15,5)+VLOOKUP(YEAR($A43),Assumptions!$A$8:$G$15,6)</f>
        <v>0</v>
      </c>
      <c r="M43" s="62"/>
      <c r="N43" s="10">
        <f>VLOOKUP(YEAR($A43),Assumptions!$A$8:$C$19,2)*(Prices!B39*$N$10)+VLOOKUP(YEAR($A43),Assumptions!$A$8:$C$19,3)</f>
        <v>20.114225751925392</v>
      </c>
      <c r="O43" s="10">
        <f>$O$9*Prices!$F39+$O$10*Prices!$G39</f>
        <v>48.187199999999997</v>
      </c>
      <c r="P43" s="10"/>
    </row>
    <row r="44" spans="1:16">
      <c r="A44" s="1">
        <f>Prices!A40</f>
        <v>46935</v>
      </c>
      <c r="B44" s="7">
        <f>$C$7*(Prices!C40/$C$8)*(1+$C$9)</f>
        <v>2.5814190929368031</v>
      </c>
      <c r="C44" s="24">
        <v>0</v>
      </c>
      <c r="D44" s="38">
        <f>IF(C44=0,$C$10*VLOOKUP(YEAR($A44),Assumptions!$A$8:$J$31,10),B44)</f>
        <v>0.96</v>
      </c>
      <c r="E44" s="10">
        <f>D44*Assumptions!$K$9+VLOOKUP(YEAR($A44),Assumptions!$A$8:$M$31,13)</f>
        <v>15.059734008739657</v>
      </c>
      <c r="F44" s="5"/>
      <c r="G44" s="40">
        <f>VLOOKUP(YEAR($A44),Assumptions!$A$8:$D$13,4)-$G$10</f>
        <v>2.8849999999999998</v>
      </c>
      <c r="H44" s="7">
        <f>G44-VLOOKUP(YEAR($A44),Assumptions!$A$8:$H$12,8)</f>
        <v>2.2361684782608693</v>
      </c>
      <c r="I44" s="7" t="e">
        <f>VLOOKUP(YEAR($A44),Assumptions!$A$8:$G$15,7)*(MIN(N44,O44)-VLOOKUP(YEAR($A44),Assumptions!$A$8:$G$15,6))/VLOOKUP(YEAR($A44),Assumptions!$A$8:$H$15,5)</f>
        <v>#DIV/0!</v>
      </c>
      <c r="J44" s="11">
        <v>1</v>
      </c>
      <c r="K44" s="38">
        <f>IF(J44=0,MIN(G44,MAX(H44,I44)),IF(J44=-1,H44,IF(J44=-2,MIN(G44,I44),IF(J44=2,#REF!,G44))))</f>
        <v>2.8849999999999998</v>
      </c>
      <c r="L44" s="10">
        <f>K44*VLOOKUP(YEAR($A44),Assumptions!$A$8:$G$15,5)+VLOOKUP(YEAR($A44),Assumptions!$A$8:$G$15,6)</f>
        <v>0</v>
      </c>
      <c r="M44" s="62"/>
      <c r="N44" s="10">
        <f>VLOOKUP(YEAR($A44),Assumptions!$A$8:$C$19,2)*(Prices!B40*$N$10)+VLOOKUP(YEAR($A44),Assumptions!$A$8:$C$19,3)</f>
        <v>23.677242351925393</v>
      </c>
      <c r="O44" s="10">
        <f>$O$9*Prices!$F40+$O$10*Prices!$G40</f>
        <v>77.536799999999999</v>
      </c>
      <c r="P44" s="10"/>
    </row>
    <row r="45" spans="1:16">
      <c r="A45" s="1">
        <f>Prices!A41</f>
        <v>46966</v>
      </c>
      <c r="B45" s="7">
        <f>$C$7*(Prices!C41/$C$8)*(1+$C$9)</f>
        <v>2.6342073289962826</v>
      </c>
      <c r="C45" s="24">
        <v>0</v>
      </c>
      <c r="D45" s="38">
        <f>IF(C45=0,$C$10*VLOOKUP(YEAR($A45),Assumptions!$A$8:$J$31,10),B45)</f>
        <v>0.96</v>
      </c>
      <c r="E45" s="10">
        <f>D45*Assumptions!$K$9+VLOOKUP(YEAR($A45),Assumptions!$A$8:$M$31,13)</f>
        <v>15.059734008739657</v>
      </c>
      <c r="F45" s="5"/>
      <c r="G45" s="40">
        <f>VLOOKUP(YEAR($A45),Assumptions!$A$8:$D$13,4)-$G$10</f>
        <v>2.8849999999999998</v>
      </c>
      <c r="H45" s="7">
        <f>G45-VLOOKUP(YEAR($A45),Assumptions!$A$8:$H$12,8)</f>
        <v>2.2361684782608693</v>
      </c>
      <c r="I45" s="7" t="e">
        <f>VLOOKUP(YEAR($A45),Assumptions!$A$8:$G$15,7)*(MIN(N45,O45)-VLOOKUP(YEAR($A45),Assumptions!$A$8:$G$15,6))/VLOOKUP(YEAR($A45),Assumptions!$A$8:$H$15,5)</f>
        <v>#DIV/0!</v>
      </c>
      <c r="J45" s="11">
        <v>1</v>
      </c>
      <c r="K45" s="38">
        <f>IF(J45=0,MIN(G45,MAX(H45,I45)),IF(J45=-1,H45,IF(J45=-2,MIN(G45,I45),IF(J45=2,#REF!,G45))))</f>
        <v>2.8849999999999998</v>
      </c>
      <c r="L45" s="10">
        <f>K45*VLOOKUP(YEAR($A45),Assumptions!$A$8:$G$15,5)+VLOOKUP(YEAR($A45),Assumptions!$A$8:$G$15,6)</f>
        <v>0</v>
      </c>
      <c r="M45" s="62"/>
      <c r="N45" s="10">
        <f>VLOOKUP(YEAR($A45),Assumptions!$A$8:$C$19,2)*(Prices!B41*$N$10)+VLOOKUP(YEAR($A45),Assumptions!$A$8:$C$19,3)</f>
        <v>25.632967551925393</v>
      </c>
      <c r="O45" s="10">
        <f>$O$9*Prices!$F41+$O$10*Prices!$G41</f>
        <v>86.401900000000012</v>
      </c>
      <c r="P45" s="10"/>
    </row>
    <row r="46" spans="1:16">
      <c r="A46" s="1">
        <f>Prices!A42</f>
        <v>46997</v>
      </c>
      <c r="B46" s="7">
        <f>$C$7*(Prices!C42/$C$8)*(1+$C$9)</f>
        <v>2.6193374033457251</v>
      </c>
      <c r="C46" s="24">
        <v>0</v>
      </c>
      <c r="D46" s="38">
        <f>IF(C46=0,$C$10*VLOOKUP(YEAR($A46),Assumptions!$A$8:$J$31,10),B46)</f>
        <v>0.96</v>
      </c>
      <c r="E46" s="10">
        <f>D46*Assumptions!$K$9+VLOOKUP(YEAR($A46),Assumptions!$A$8:$M$31,13)</f>
        <v>15.059734008739657</v>
      </c>
      <c r="F46" s="5"/>
      <c r="G46" s="40">
        <f>VLOOKUP(YEAR($A46),Assumptions!$A$8:$D$13,4)-$G$10</f>
        <v>2.8849999999999998</v>
      </c>
      <c r="H46" s="7">
        <f>G46-VLOOKUP(YEAR($A46),Assumptions!$A$8:$H$12,8)</f>
        <v>2.2361684782608693</v>
      </c>
      <c r="I46" s="7" t="e">
        <f>VLOOKUP(YEAR($A46),Assumptions!$A$8:$G$15,7)*(MIN(N46,O46)-VLOOKUP(YEAR($A46),Assumptions!$A$8:$G$15,6))/VLOOKUP(YEAR($A46),Assumptions!$A$8:$H$15,5)</f>
        <v>#DIV/0!</v>
      </c>
      <c r="J46" s="11">
        <v>1</v>
      </c>
      <c r="K46" s="38">
        <f>IF(J46=0,MIN(G46,MAX(H46,I46)),IF(J46=-1,H46,IF(J46=-2,MIN(G46,I46),IF(J46=2,#REF!,G46))))</f>
        <v>2.8849999999999998</v>
      </c>
      <c r="L46" s="10">
        <f>K46*VLOOKUP(YEAR($A46),Assumptions!$A$8:$G$15,5)+VLOOKUP(YEAR($A46),Assumptions!$A$8:$G$15,6)</f>
        <v>0</v>
      </c>
      <c r="M46" s="62"/>
      <c r="N46" s="10">
        <f>VLOOKUP(YEAR($A46),Assumptions!$A$8:$C$19,2)*(Prices!B42*$N$10)+VLOOKUP(YEAR($A46),Assumptions!$A$8:$C$19,3)</f>
        <v>23.946997551925392</v>
      </c>
      <c r="O46" s="10">
        <f>$O$9*Prices!$F42+$O$10*Prices!$G42</f>
        <v>63.288800000000002</v>
      </c>
      <c r="P46" s="10"/>
    </row>
    <row r="47" spans="1:16">
      <c r="A47" s="1">
        <f>Prices!A43</f>
        <v>47027</v>
      </c>
      <c r="B47" s="7">
        <f>$C$7*(Prices!C43/$C$8)*(1+$C$9)</f>
        <v>2.6624601877323419</v>
      </c>
      <c r="C47" s="24">
        <v>0</v>
      </c>
      <c r="D47" s="38">
        <f>IF(C47=0,$C$10*VLOOKUP(YEAR($A47),Assumptions!$A$8:$J$31,10),B47)</f>
        <v>0.96</v>
      </c>
      <c r="E47" s="10">
        <f>D47*Assumptions!$K$9+VLOOKUP(YEAR($A47),Assumptions!$A$8:$M$31,13)</f>
        <v>15.059734008739657</v>
      </c>
      <c r="F47" s="5"/>
      <c r="G47" s="40">
        <f>VLOOKUP(YEAR($A47),Assumptions!$A$8:$D$13,4)-$G$10</f>
        <v>2.8849999999999998</v>
      </c>
      <c r="H47" s="7">
        <f>G47-VLOOKUP(YEAR($A47),Assumptions!$A$8:$H$12,8)</f>
        <v>2.2361684782608693</v>
      </c>
      <c r="I47" s="7" t="e">
        <f>VLOOKUP(YEAR($A47),Assumptions!$A$8:$G$15,7)*(MIN(N47,O47)-VLOOKUP(YEAR($A47),Assumptions!$A$8:$G$15,6))/VLOOKUP(YEAR($A47),Assumptions!$A$8:$H$15,5)</f>
        <v>#DIV/0!</v>
      </c>
      <c r="J47" s="11">
        <v>1</v>
      </c>
      <c r="K47" s="38">
        <f>IF(J47=0,MIN(G47,MAX(H47,I47)),IF(J47=-1,H47,IF(J47=-2,MIN(G47,I47),IF(J47=2,#REF!,G47))))</f>
        <v>2.8849999999999998</v>
      </c>
      <c r="L47" s="10">
        <f>K47*VLOOKUP(YEAR($A47),Assumptions!$A$8:$G$15,5)+VLOOKUP(YEAR($A47),Assumptions!$A$8:$G$15,6)</f>
        <v>0</v>
      </c>
      <c r="M47" s="62"/>
      <c r="N47" s="10">
        <f>VLOOKUP(YEAR($A47),Assumptions!$A$8:$C$19,2)*(Prices!B43*$N$10)+VLOOKUP(YEAR($A47),Assumptions!$A$8:$C$19,3)</f>
        <v>22.695633151925392</v>
      </c>
      <c r="O47" s="10">
        <f>$O$9*Prices!$F43+$O$10*Prices!$G43</f>
        <v>49.058300000000003</v>
      </c>
      <c r="P47" s="10"/>
    </row>
    <row r="48" spans="1:16">
      <c r="A48" s="1">
        <f>Prices!A44</f>
        <v>47058</v>
      </c>
      <c r="B48" s="7">
        <f>$C$7*(Prices!C44/$C$8)*(1+$C$9)</f>
        <v>2.8089289553903347</v>
      </c>
      <c r="C48" s="24">
        <v>0</v>
      </c>
      <c r="D48" s="38">
        <f>IF(C48=0,$C$10*VLOOKUP(YEAR($A48),Assumptions!$A$8:$J$31,10),B48)</f>
        <v>0.96</v>
      </c>
      <c r="E48" s="10">
        <f>D48*Assumptions!$K$9+VLOOKUP(YEAR($A48),Assumptions!$A$8:$M$31,13)</f>
        <v>15.059734008739657</v>
      </c>
      <c r="F48" s="5"/>
      <c r="G48" s="40">
        <f>VLOOKUP(YEAR($A48),Assumptions!$A$8:$D$13,4)-$G$10</f>
        <v>2.8849999999999998</v>
      </c>
      <c r="H48" s="7">
        <f>G48-VLOOKUP(YEAR($A48),Assumptions!$A$8:$H$12,8)</f>
        <v>2.2361684782608693</v>
      </c>
      <c r="I48" s="7" t="e">
        <f>VLOOKUP(YEAR($A48),Assumptions!$A$8:$G$15,7)*(MIN(N48,O48)-VLOOKUP(YEAR($A48),Assumptions!$A$8:$G$15,6))/VLOOKUP(YEAR($A48),Assumptions!$A$8:$H$15,5)</f>
        <v>#DIV/0!</v>
      </c>
      <c r="J48" s="11">
        <v>1</v>
      </c>
      <c r="K48" s="38">
        <f>IF(J48=0,MIN(G48,MAX(H48,I48)),IF(J48=-1,H48,IF(J48=-2,MIN(G48,I48),IF(J48=2,#REF!,G48))))</f>
        <v>2.8849999999999998</v>
      </c>
      <c r="L48" s="10">
        <f>K48*VLOOKUP(YEAR($A48),Assumptions!$A$8:$G$15,5)+VLOOKUP(YEAR($A48),Assumptions!$A$8:$G$15,6)</f>
        <v>0</v>
      </c>
      <c r="M48" s="62"/>
      <c r="N48" s="10">
        <f>VLOOKUP(YEAR($A48),Assumptions!$A$8:$C$19,2)*(Prices!B44*$N$10)+VLOOKUP(YEAR($A48),Assumptions!$A$8:$C$19,3)</f>
        <v>26.026360551925389</v>
      </c>
      <c r="O48" s="10">
        <f>$O$9*Prices!$F44+$O$10*Prices!$G44</f>
        <v>51.053299999999993</v>
      </c>
      <c r="P48" s="10"/>
    </row>
    <row r="49" spans="1:16">
      <c r="A49" s="1">
        <f>Prices!A45</f>
        <v>47088</v>
      </c>
      <c r="B49" s="7">
        <f>$C$7*(Prices!C45/$C$8)*(1+$C$9)</f>
        <v>3.2676661617100367</v>
      </c>
      <c r="C49" s="24">
        <v>0</v>
      </c>
      <c r="D49" s="38">
        <f>IF(C49=0,$C$10*VLOOKUP(YEAR($A49),Assumptions!$A$8:$J$31,10),B49)</f>
        <v>0.96</v>
      </c>
      <c r="E49" s="10">
        <f>D49*Assumptions!$K$9+VLOOKUP(YEAR($A49),Assumptions!$A$8:$M$31,13)</f>
        <v>15.059734008739657</v>
      </c>
      <c r="F49" s="5"/>
      <c r="G49" s="40">
        <f>VLOOKUP(YEAR($A49),Assumptions!$A$8:$D$13,4)-$G$10</f>
        <v>2.8849999999999998</v>
      </c>
      <c r="H49" s="7">
        <f>G49-VLOOKUP(YEAR($A49),Assumptions!$A$8:$H$12,8)</f>
        <v>2.2361684782608693</v>
      </c>
      <c r="I49" s="7" t="e">
        <f>VLOOKUP(YEAR($A49),Assumptions!$A$8:$G$15,7)*(MIN(N49,O49)-VLOOKUP(YEAR($A49),Assumptions!$A$8:$G$15,6))/VLOOKUP(YEAR($A49),Assumptions!$A$8:$H$15,5)</f>
        <v>#DIV/0!</v>
      </c>
      <c r="J49" s="11">
        <v>1</v>
      </c>
      <c r="K49" s="38">
        <f>IF(J49=0,MIN(G49,MAX(H49,I49)),IF(J49=-1,H49,IF(J49=-2,MIN(G49,I49),IF(J49=2,#REF!,G49))))</f>
        <v>2.8849999999999998</v>
      </c>
      <c r="L49" s="10">
        <f>K49*VLOOKUP(YEAR($A49),Assumptions!$A$8:$G$15,5)+VLOOKUP(YEAR($A49),Assumptions!$A$8:$G$15,6)</f>
        <v>0</v>
      </c>
      <c r="M49" s="62"/>
      <c r="N49" s="10">
        <f>VLOOKUP(YEAR($A49),Assumptions!$A$8:$C$19,2)*(Prices!B45*$N$10)+VLOOKUP(YEAR($A49),Assumptions!$A$8:$C$19,3)</f>
        <v>34.733458951925392</v>
      </c>
      <c r="O49" s="10">
        <f>$O$9*Prices!$F45+$O$10*Prices!$G45</f>
        <v>71.332700000000003</v>
      </c>
      <c r="P49" s="10"/>
    </row>
    <row r="50" spans="1:16">
      <c r="A50" s="1">
        <f>Prices!A46</f>
        <v>47119</v>
      </c>
      <c r="B50" s="7">
        <f>$C$7*(Prices!C46/$C$8)*(1+$C$9)</f>
        <v>3.5747301263940523</v>
      </c>
      <c r="C50" s="24">
        <v>0</v>
      </c>
      <c r="D50" s="38">
        <f>IF(C50=0,$C$10*VLOOKUP(YEAR($A50),Assumptions!$A$8:$J$31,10),B50)</f>
        <v>0.996</v>
      </c>
      <c r="E50" s="10">
        <f>D50*Assumptions!$K$9+VLOOKUP(YEAR($A50),Assumptions!$A$8:$M$31,13)</f>
        <v>15.546815878598048</v>
      </c>
      <c r="F50" s="5"/>
      <c r="G50" s="40">
        <f>VLOOKUP(YEAR($A50),Assumptions!$A$8:$D$13,4)-$G$10</f>
        <v>2.8849999999999998</v>
      </c>
      <c r="H50" s="7">
        <f>G50-VLOOKUP(YEAR($A50),Assumptions!$A$8:$H$12,8)</f>
        <v>2.2361684782608693</v>
      </c>
      <c r="I50" s="7" t="e">
        <f>VLOOKUP(YEAR($A50),Assumptions!$A$8:$G$15,7)*(MIN(N50,O50)-VLOOKUP(YEAR($A50),Assumptions!$A$8:$G$15,6))/VLOOKUP(YEAR($A50),Assumptions!$A$8:$H$15,5)</f>
        <v>#DIV/0!</v>
      </c>
      <c r="J50" s="11">
        <v>1</v>
      </c>
      <c r="K50" s="38">
        <f>IF(J50=0,MIN(G50,MAX(H50,I50)),IF(J50=-1,H50,IF(J50=-2,MIN(G50,I50),IF(J50=2,#REF!,G50))))</f>
        <v>2.8849999999999998</v>
      </c>
      <c r="L50" s="10">
        <f>K50*VLOOKUP(YEAR($A50),Assumptions!$A$8:$G$15,5)+VLOOKUP(YEAR($A50),Assumptions!$A$8:$G$15,6)</f>
        <v>0</v>
      </c>
      <c r="M50" s="62"/>
      <c r="N50" s="10">
        <f>VLOOKUP(YEAR($A50),Assumptions!$A$8:$C$19,2)*(Prices!B46*$N$10)+VLOOKUP(YEAR($A50),Assumptions!$A$8:$C$19,3)</f>
        <v>38.98935040317641</v>
      </c>
      <c r="O50" s="10">
        <f>$O$9*Prices!$F46+$O$10*Prices!$G46</f>
        <v>66.379618999999991</v>
      </c>
    </row>
    <row r="51" spans="1:16">
      <c r="A51" s="1">
        <f>Prices!A47</f>
        <v>47150</v>
      </c>
      <c r="B51" s="7">
        <f>$C$7*(Prices!C47/$C$8)*(1+$C$9)</f>
        <v>3.2542832286245353</v>
      </c>
      <c r="C51" s="24">
        <v>0</v>
      </c>
      <c r="D51" s="38">
        <f>IF(C51=0,$C$10*VLOOKUP(YEAR($A51),Assumptions!$A$8:$J$31,10),B51)</f>
        <v>0.996</v>
      </c>
      <c r="E51" s="10">
        <f>D51*Assumptions!$K$9+VLOOKUP(YEAR($A51),Assumptions!$A$8:$M$31,13)</f>
        <v>15.546815878598048</v>
      </c>
      <c r="F51" s="5"/>
      <c r="G51" s="40">
        <f>VLOOKUP(YEAR($A51),Assumptions!$A$8:$D$13,4)-$G$10</f>
        <v>2.8849999999999998</v>
      </c>
      <c r="H51" s="7">
        <f>G51-VLOOKUP(YEAR($A51),Assumptions!$A$8:$H$12,8)</f>
        <v>2.2361684782608693</v>
      </c>
      <c r="I51" s="7" t="e">
        <f>VLOOKUP(YEAR($A51),Assumptions!$A$8:$G$15,7)*(MIN(N51,O51)-VLOOKUP(YEAR($A51),Assumptions!$A$8:$G$15,6))/VLOOKUP(YEAR($A51),Assumptions!$A$8:$H$15,5)</f>
        <v>#DIV/0!</v>
      </c>
      <c r="J51" s="11">
        <v>1</v>
      </c>
      <c r="K51" s="38">
        <f>IF(J51=0,MIN(G51,MAX(H51,I51)),IF(J51=-1,H51,IF(J51=-2,MIN(G51,I51),IF(J51=2,#REF!,G51))))</f>
        <v>2.8849999999999998</v>
      </c>
      <c r="L51" s="10">
        <f>K51*VLOOKUP(YEAR($A51),Assumptions!$A$8:$G$15,5)+VLOOKUP(YEAR($A51),Assumptions!$A$8:$G$15,6)</f>
        <v>0</v>
      </c>
      <c r="M51" s="62"/>
      <c r="N51" s="10">
        <f>VLOOKUP(YEAR($A51),Assumptions!$A$8:$C$19,2)*(Prices!B47*$N$10)+VLOOKUP(YEAR($A51),Assumptions!$A$8:$C$19,3)</f>
        <v>36.396703203176408</v>
      </c>
      <c r="O51" s="10">
        <f>$O$9*Prices!$F47+$O$10*Prices!$G47</f>
        <v>56.836940999999996</v>
      </c>
    </row>
    <row r="52" spans="1:16">
      <c r="A52" s="1">
        <f>Prices!A48</f>
        <v>47178</v>
      </c>
      <c r="B52" s="7">
        <f>$C$7*(Prices!C48/$C$8)*(1+$C$9)</f>
        <v>2.5858800706319705</v>
      </c>
      <c r="C52" s="24">
        <v>0</v>
      </c>
      <c r="D52" s="38">
        <f>IF(C52=0,$C$10*VLOOKUP(YEAR($A52),Assumptions!$A$8:$J$31,10),B52)</f>
        <v>0.996</v>
      </c>
      <c r="E52" s="10">
        <f>D52*Assumptions!$K$9+VLOOKUP(YEAR($A52),Assumptions!$A$8:$M$31,13)</f>
        <v>15.546815878598048</v>
      </c>
      <c r="F52" s="5"/>
      <c r="G52" s="40">
        <f>VLOOKUP(YEAR($A52),Assumptions!$A$8:$D$13,4)-$G$10</f>
        <v>2.8849999999999998</v>
      </c>
      <c r="H52" s="7">
        <f>G52-VLOOKUP(YEAR($A52),Assumptions!$A$8:$H$12,8)</f>
        <v>2.2361684782608693</v>
      </c>
      <c r="I52" s="7" t="e">
        <f>VLOOKUP(YEAR($A52),Assumptions!$A$8:$G$15,7)*(MIN(N52,O52)-VLOOKUP(YEAR($A52),Assumptions!$A$8:$G$15,6))/VLOOKUP(YEAR($A52),Assumptions!$A$8:$H$15,5)</f>
        <v>#DIV/0!</v>
      </c>
      <c r="J52" s="11">
        <v>1</v>
      </c>
      <c r="K52" s="38">
        <f>IF(J52=0,MIN(G52,MAX(H52,I52)),IF(J52=-1,H52,IF(J52=-2,MIN(G52,I52),IF(J52=2,#REF!,G52))))</f>
        <v>2.8849999999999998</v>
      </c>
      <c r="L52" s="10">
        <f>K52*VLOOKUP(YEAR($A52),Assumptions!$A$8:$G$15,5)+VLOOKUP(YEAR($A52),Assumptions!$A$8:$G$15,6)</f>
        <v>0</v>
      </c>
      <c r="M52" s="62"/>
      <c r="N52" s="10">
        <f>VLOOKUP(YEAR($A52),Assumptions!$A$8:$C$19,2)*(Prices!B48*$N$10)+VLOOKUP(YEAR($A52),Assumptions!$A$8:$C$19,3)</f>
        <v>22.59797540317641</v>
      </c>
      <c r="O52" s="10">
        <f>$O$9*Prices!$F48+$O$10*Prices!$G48</f>
        <v>46.323957</v>
      </c>
    </row>
    <row r="53" spans="1:16">
      <c r="A53" s="1">
        <f>Prices!A49</f>
        <v>47209</v>
      </c>
      <c r="B53" s="7">
        <f>$C$7*(Prices!C49/$C$8)*(1+$C$9)</f>
        <v>2.3665486672862452</v>
      </c>
      <c r="C53" s="24">
        <v>0</v>
      </c>
      <c r="D53" s="38">
        <f>IF(C53=0,$C$10*VLOOKUP(YEAR($A53),Assumptions!$A$8:$J$31,10),B53)</f>
        <v>0.996</v>
      </c>
      <c r="E53" s="10">
        <f>D53*Assumptions!$K$9+VLOOKUP(YEAR($A53),Assumptions!$A$8:$M$31,13)</f>
        <v>15.546815878598048</v>
      </c>
      <c r="F53" s="5"/>
      <c r="G53" s="40">
        <f>VLOOKUP(YEAR($A53),Assumptions!$A$8:$D$13,4)-$G$10</f>
        <v>2.8849999999999998</v>
      </c>
      <c r="H53" s="7">
        <f>G53-VLOOKUP(YEAR($A53),Assumptions!$A$8:$H$12,8)</f>
        <v>2.2361684782608693</v>
      </c>
      <c r="I53" s="7" t="e">
        <f>VLOOKUP(YEAR($A53),Assumptions!$A$8:$G$15,7)*(MIN(N53,O53)-VLOOKUP(YEAR($A53),Assumptions!$A$8:$G$15,6))/VLOOKUP(YEAR($A53),Assumptions!$A$8:$H$15,5)</f>
        <v>#DIV/0!</v>
      </c>
      <c r="J53" s="11">
        <v>1</v>
      </c>
      <c r="K53" s="38">
        <f>IF(J53=0,MIN(G53,MAX(H53,I53)),IF(J53=-1,H53,IF(J53=-2,MIN(G53,I53),IF(J53=2,#REF!,G53))))</f>
        <v>2.8849999999999998</v>
      </c>
      <c r="L53" s="10">
        <f>K53*VLOOKUP(YEAR($A53),Assumptions!$A$8:$G$15,5)+VLOOKUP(YEAR($A53),Assumptions!$A$8:$G$15,6)</f>
        <v>0</v>
      </c>
      <c r="M53" s="62"/>
      <c r="N53" s="10">
        <f>VLOOKUP(YEAR($A53),Assumptions!$A$8:$C$19,2)*(Prices!B49*$N$10)+VLOOKUP(YEAR($A53),Assumptions!$A$8:$C$19,3)</f>
        <v>19.731826403176409</v>
      </c>
      <c r="O53" s="10">
        <f>$O$9*Prices!$F49+$O$10*Prices!$G49</f>
        <v>29.373399999999997</v>
      </c>
    </row>
    <row r="54" spans="1:16" ht="15" thickBot="1">
      <c r="A54" s="14">
        <f>Prices!A50</f>
        <v>47239</v>
      </c>
      <c r="B54" s="37">
        <f>$C$7*(Prices!C50/$C$8)*(1+$C$9)</f>
        <v>2.3524222379182156</v>
      </c>
      <c r="C54" s="36">
        <v>0</v>
      </c>
      <c r="D54" s="39">
        <f>IF(C54=0,$C$10*VLOOKUP(YEAR($A54),Assumptions!$A$8:$J$31,10),B54)</f>
        <v>0.996</v>
      </c>
      <c r="E54" s="43">
        <f>D54*Assumptions!$K$9+VLOOKUP(YEAR($A54),Assumptions!$A$8:$M$31,13)</f>
        <v>15.546815878598048</v>
      </c>
      <c r="F54" s="5"/>
      <c r="G54" s="40">
        <f>VLOOKUP(YEAR($A54),Assumptions!$A$8:$D$13,4)-$G$10</f>
        <v>2.8849999999999998</v>
      </c>
      <c r="H54" s="7">
        <f>G54-VLOOKUP(YEAR($A54),Assumptions!$A$8:$H$12,8)</f>
        <v>2.2361684782608693</v>
      </c>
      <c r="I54" s="7" t="e">
        <f>VLOOKUP(YEAR($A54),Assumptions!$A$8:$G$15,7)*(MIN(N54,O54)-VLOOKUP(YEAR($A54),Assumptions!$A$8:$G$15,6))/VLOOKUP(YEAR($A54),Assumptions!$A$8:$H$15,5)</f>
        <v>#DIV/0!</v>
      </c>
      <c r="J54" s="11">
        <v>1</v>
      </c>
      <c r="K54" s="38">
        <f>IF(J54=0,MIN(G54,MAX(H54,I54)),IF(J54=-1,H54,IF(J54=-2,MIN(G54,I54),IF(J54=2,#REF!,G54))))</f>
        <v>2.8849999999999998</v>
      </c>
      <c r="L54" s="10">
        <f>K54*VLOOKUP(YEAR($A54),Assumptions!$A$8:$G$15,5)+VLOOKUP(YEAR($A54),Assumptions!$A$8:$G$15,6)</f>
        <v>0</v>
      </c>
      <c r="M54" s="62"/>
      <c r="N54" s="10">
        <f>VLOOKUP(YEAR($A54),Assumptions!$A$8:$C$19,2)*(Prices!B50*$N$10)+VLOOKUP(YEAR($A54),Assumptions!$A$8:$C$19,3)</f>
        <v>18.690271603176409</v>
      </c>
      <c r="O54" s="10">
        <f>$O$9*Prices!$F50+$O$10*Prices!$G50</f>
        <v>29.725313</v>
      </c>
    </row>
    <row r="55" spans="1:16">
      <c r="A55" s="1">
        <f>Prices!A51</f>
        <v>47270</v>
      </c>
      <c r="B55" s="7">
        <f>$C$7*(Prices!C51/$C$8)*(1+$C$9)</f>
        <v>2.4356938215613382</v>
      </c>
      <c r="C55" s="24">
        <v>0</v>
      </c>
      <c r="D55" s="38">
        <f>IF(C55=0,$C$10*VLOOKUP(YEAR($A55),Assumptions!$A$8:$J$31,10),B55)</f>
        <v>0.996</v>
      </c>
      <c r="E55" s="10">
        <f>D55*Assumptions!$K$9+VLOOKUP(YEAR($A55),Assumptions!$A$8:$M$31,13)</f>
        <v>15.546815878598048</v>
      </c>
      <c r="F55" s="5"/>
      <c r="G55" s="40">
        <f>VLOOKUP(YEAR($A55),Assumptions!$A$8:$D$13,4)-$G$10</f>
        <v>2.8849999999999998</v>
      </c>
      <c r="H55" s="7">
        <f>G55-VLOOKUP(YEAR($A55),Assumptions!$A$8:$H$12,8)</f>
        <v>2.2361684782608693</v>
      </c>
      <c r="I55" s="7" t="e">
        <f>VLOOKUP(YEAR($A55),Assumptions!$A$8:$G$15,7)*(MIN(N55,O55)-VLOOKUP(YEAR($A55),Assumptions!$A$8:$G$15,6))/VLOOKUP(YEAR($A55),Assumptions!$A$8:$H$15,5)</f>
        <v>#DIV/0!</v>
      </c>
      <c r="J55" s="11">
        <v>1</v>
      </c>
      <c r="K55" s="38">
        <f>IF(J55=0,MIN(G55,MAX(H55,I55)),IF(J55=-1,H55,IF(J55=-2,MIN(G55,I55),IF(J55=2,#REF!,G55))))</f>
        <v>2.8849999999999998</v>
      </c>
      <c r="L55" s="10">
        <f>K55*VLOOKUP(YEAR($A55),Assumptions!$A$8:$G$15,5)+VLOOKUP(YEAR($A55),Assumptions!$A$8:$G$15,6)</f>
        <v>0</v>
      </c>
      <c r="M55" s="62"/>
      <c r="N55" s="10">
        <f>VLOOKUP(YEAR($A55),Assumptions!$A$8:$C$19,2)*(Prices!B51*$N$10)+VLOOKUP(YEAR($A55),Assumptions!$A$8:$C$19,3)</f>
        <v>20.447427003176408</v>
      </c>
      <c r="O55" s="10">
        <f>$O$9*Prices!$F51+$O$10*Prices!$G51</f>
        <v>41.225819999999999</v>
      </c>
    </row>
    <row r="56" spans="1:16">
      <c r="A56" s="1">
        <f>Prices!A52</f>
        <v>47300</v>
      </c>
      <c r="B56" s="7">
        <f>$C$7*(Prices!C52/$C$8)*(1+$C$9)</f>
        <v>2.5940585297397769</v>
      </c>
      <c r="C56" s="24">
        <v>0</v>
      </c>
      <c r="D56" s="38">
        <f>IF(C56=0,$C$10*VLOOKUP(YEAR($A56),Assumptions!$A$8:$J$31,10),B56)</f>
        <v>0.996</v>
      </c>
      <c r="E56" s="10">
        <f>D56*Assumptions!$K$9+VLOOKUP(YEAR($A56),Assumptions!$A$8:$M$31,13)</f>
        <v>15.546815878598048</v>
      </c>
      <c r="F56" s="5"/>
      <c r="G56" s="40">
        <f>VLOOKUP(YEAR($A56),Assumptions!$A$8:$D$13,4)-$G$10</f>
        <v>2.8849999999999998</v>
      </c>
      <c r="H56" s="7">
        <f>G56-VLOOKUP(YEAR($A56),Assumptions!$A$8:$H$12,8)</f>
        <v>2.2361684782608693</v>
      </c>
      <c r="I56" s="7" t="e">
        <f>VLOOKUP(YEAR($A56),Assumptions!$A$8:$G$15,7)*(MIN(N56,O56)-VLOOKUP(YEAR($A56),Assumptions!$A$8:$G$15,6))/VLOOKUP(YEAR($A56),Assumptions!$A$8:$H$15,5)</f>
        <v>#DIV/0!</v>
      </c>
      <c r="J56" s="11">
        <v>1</v>
      </c>
      <c r="K56" s="38">
        <f>IF(J56=0,MIN(G56,MAX(H56,I56)),IF(J56=-1,H56,IF(J56=-2,MIN(G56,I56),IF(J56=2,#REF!,G56))))</f>
        <v>2.8849999999999998</v>
      </c>
      <c r="L56" s="10">
        <f>K56*VLOOKUP(YEAR($A56),Assumptions!$A$8:$G$15,5)+VLOOKUP(YEAR($A56),Assumptions!$A$8:$G$15,6)</f>
        <v>0</v>
      </c>
      <c r="M56" s="62"/>
      <c r="N56" s="10">
        <f>VLOOKUP(YEAR($A56),Assumptions!$A$8:$C$19,2)*(Prices!B52*$N$10)+VLOOKUP(YEAR($A56),Assumptions!$A$8:$C$19,3)</f>
        <v>24.57243360317641</v>
      </c>
      <c r="O56" s="10">
        <f>$O$9*Prices!$F52+$O$10*Prices!$G52</f>
        <v>98.772014999999996</v>
      </c>
    </row>
    <row r="57" spans="1:16">
      <c r="A57" s="1">
        <f>Prices!A53</f>
        <v>47331</v>
      </c>
      <c r="B57" s="7">
        <f>$C$7*(Prices!C53/$C$8)*(1+$C$9)</f>
        <v>2.6379248104089221</v>
      </c>
      <c r="C57" s="24">
        <v>0</v>
      </c>
      <c r="D57" s="38">
        <f>IF(C57=0,$C$10*VLOOKUP(YEAR($A57),Assumptions!$A$8:$J$31,10),B57)</f>
        <v>0.996</v>
      </c>
      <c r="E57" s="10">
        <f>D57*Assumptions!$K$9+VLOOKUP(YEAR($A57),Assumptions!$A$8:$M$31,13)</f>
        <v>15.546815878598048</v>
      </c>
      <c r="F57" s="5"/>
      <c r="G57" s="40">
        <f>VLOOKUP(YEAR($A57),Assumptions!$A$8:$D$13,4)-$G$10</f>
        <v>2.8849999999999998</v>
      </c>
      <c r="H57" s="7">
        <f>G57-VLOOKUP(YEAR($A57),Assumptions!$A$8:$H$12,8)</f>
        <v>2.2361684782608693</v>
      </c>
      <c r="I57" s="7" t="e">
        <f>VLOOKUP(YEAR($A57),Assumptions!$A$8:$G$15,7)*(MIN(N57,O57)-VLOOKUP(YEAR($A57),Assumptions!$A$8:$G$15,6))/VLOOKUP(YEAR($A57),Assumptions!$A$8:$H$15,5)</f>
        <v>#DIV/0!</v>
      </c>
      <c r="J57" s="11">
        <v>1</v>
      </c>
      <c r="K57" s="38">
        <f>IF(J57=0,MIN(G57,MAX(H57,I57)),IF(J57=-1,H57,IF(J57=-2,MIN(G57,I57),IF(J57=2,#REF!,G57))))</f>
        <v>2.8849999999999998</v>
      </c>
      <c r="L57" s="10">
        <f>K57*VLOOKUP(YEAR($A57),Assumptions!$A$8:$G$15,5)+VLOOKUP(YEAR($A57),Assumptions!$A$8:$G$15,6)</f>
        <v>0</v>
      </c>
      <c r="M57" s="62"/>
      <c r="N57" s="10">
        <f>VLOOKUP(YEAR($A57),Assumptions!$A$8:$C$19,2)*(Prices!B53*$N$10)+VLOOKUP(YEAR($A57),Assumptions!$A$8:$C$19,3)</f>
        <v>25.108197403176408</v>
      </c>
      <c r="O57" s="10">
        <f>$O$9*Prices!$F53+$O$10*Prices!$G53</f>
        <v>101.36051499999999</v>
      </c>
    </row>
    <row r="58" spans="1:16">
      <c r="A58" s="1">
        <f>Prices!A54</f>
        <v>47362</v>
      </c>
      <c r="B58" s="7">
        <f>$C$7*(Prices!C54/$C$8)*(1+$C$9)</f>
        <v>2.6282593587360599</v>
      </c>
      <c r="C58" s="24">
        <v>0</v>
      </c>
      <c r="D58" s="38">
        <f>IF(C58=0,$C$10*VLOOKUP(YEAR($A58),Assumptions!$A$8:$J$31,10),B58)</f>
        <v>0.996</v>
      </c>
      <c r="E58" s="10">
        <f>D58*Assumptions!$K$9+VLOOKUP(YEAR($A58),Assumptions!$A$8:$M$31,13)</f>
        <v>15.546815878598048</v>
      </c>
      <c r="F58" s="5"/>
      <c r="G58" s="40">
        <f>VLOOKUP(YEAR($A58),Assumptions!$A$8:$D$13,4)-$G$10</f>
        <v>2.8849999999999998</v>
      </c>
      <c r="H58" s="7">
        <f>G58-VLOOKUP(YEAR($A58),Assumptions!$A$8:$H$12,8)</f>
        <v>2.2361684782608693</v>
      </c>
      <c r="I58" s="7" t="e">
        <f>VLOOKUP(YEAR($A58),Assumptions!$A$8:$G$15,7)*(MIN(N58,O58)-VLOOKUP(YEAR($A58),Assumptions!$A$8:$G$15,6))/VLOOKUP(YEAR($A58),Assumptions!$A$8:$H$15,5)</f>
        <v>#DIV/0!</v>
      </c>
      <c r="J58" s="11">
        <v>1</v>
      </c>
      <c r="K58" s="38">
        <f>IF(J58=0,MIN(G58,MAX(H58,I58)),IF(J58=-1,H58,IF(J58=-2,MIN(G58,I58),IF(J58=2,#REF!,G58))))</f>
        <v>2.8849999999999998</v>
      </c>
      <c r="L58" s="10">
        <f>K58*VLOOKUP(YEAR($A58),Assumptions!$A$8:$G$15,5)+VLOOKUP(YEAR($A58),Assumptions!$A$8:$G$15,6)</f>
        <v>0</v>
      </c>
      <c r="M58" s="62"/>
      <c r="N58" s="10">
        <f>VLOOKUP(YEAR($A58),Assumptions!$A$8:$C$19,2)*(Prices!B54*$N$10)+VLOOKUP(YEAR($A58),Assumptions!$A$8:$C$19,3)</f>
        <v>24.542460803176411</v>
      </c>
      <c r="O58" s="10">
        <f>$O$9*Prices!$F54+$O$10*Prices!$G54</f>
        <v>79.863069999999993</v>
      </c>
    </row>
    <row r="59" spans="1:16">
      <c r="A59" s="1">
        <f>Prices!A55</f>
        <v>47392</v>
      </c>
      <c r="B59" s="7">
        <f>$C$7*(Prices!C55/$C$8)*(1+$C$9)</f>
        <v>2.6750996245353158</v>
      </c>
      <c r="C59" s="24">
        <v>0</v>
      </c>
      <c r="D59" s="38">
        <f>IF(C59=0,$C$10*VLOOKUP(YEAR($A59),Assumptions!$A$8:$J$31,10),B59)</f>
        <v>0.996</v>
      </c>
      <c r="E59" s="10">
        <f>D59*Assumptions!$K$9+VLOOKUP(YEAR($A59),Assumptions!$A$8:$M$31,13)</f>
        <v>15.546815878598048</v>
      </c>
      <c r="F59" s="5"/>
      <c r="G59" s="40">
        <f>VLOOKUP(YEAR($A59),Assumptions!$A$8:$D$13,4)-$G$10</f>
        <v>2.8849999999999998</v>
      </c>
      <c r="H59" s="7">
        <f>G59-VLOOKUP(YEAR($A59),Assumptions!$A$8:$H$12,8)</f>
        <v>2.2361684782608693</v>
      </c>
      <c r="I59" s="7" t="e">
        <f>VLOOKUP(YEAR($A59),Assumptions!$A$8:$G$15,7)*(MIN(N59,O59)-VLOOKUP(YEAR($A59),Assumptions!$A$8:$G$15,6))/VLOOKUP(YEAR($A59),Assumptions!$A$8:$H$15,5)</f>
        <v>#DIV/0!</v>
      </c>
      <c r="J59" s="11">
        <v>1</v>
      </c>
      <c r="K59" s="38">
        <f>IF(J59=0,MIN(G59,MAX(H59,I59)),IF(J59=-1,H59,IF(J59=-2,MIN(G59,I59),IF(J59=2,#REF!,G59))))</f>
        <v>2.8849999999999998</v>
      </c>
      <c r="L59" s="10">
        <f>K59*VLOOKUP(YEAR($A59),Assumptions!$A$8:$G$15,5)+VLOOKUP(YEAR($A59),Assumptions!$A$8:$G$15,6)</f>
        <v>0</v>
      </c>
      <c r="M59" s="62"/>
      <c r="N59" s="10">
        <f>VLOOKUP(YEAR($A59),Assumptions!$A$8:$C$19,2)*(Prices!B55*$N$10)+VLOOKUP(YEAR($A59),Assumptions!$A$8:$C$19,3)</f>
        <v>22.523043403176409</v>
      </c>
      <c r="O59" s="10">
        <f>$O$9*Prices!$F55+$O$10*Prices!$G55</f>
        <v>52.121307000000002</v>
      </c>
    </row>
    <row r="60" spans="1:16">
      <c r="A60" s="1">
        <f>Prices!A56</f>
        <v>47423</v>
      </c>
      <c r="B60" s="7">
        <f>$C$7*(Prices!C56/$C$8)*(1+$C$9)</f>
        <v>2.7985200074349441</v>
      </c>
      <c r="C60" s="24">
        <v>0</v>
      </c>
      <c r="D60" s="38">
        <f>IF(C60=0,$C$10*VLOOKUP(YEAR($A60),Assumptions!$A$8:$J$31,10),B60)</f>
        <v>0.996</v>
      </c>
      <c r="E60" s="10">
        <f>D60*Assumptions!$K$9+VLOOKUP(YEAR($A60),Assumptions!$A$8:$M$31,13)</f>
        <v>15.546815878598048</v>
      </c>
      <c r="F60" s="5"/>
      <c r="G60" s="40">
        <f>VLOOKUP(YEAR($A60),Assumptions!$A$8:$D$13,4)-$G$10</f>
        <v>2.8849999999999998</v>
      </c>
      <c r="H60" s="7">
        <f>G60-VLOOKUP(YEAR($A60),Assumptions!$A$8:$H$12,8)</f>
        <v>2.2361684782608693</v>
      </c>
      <c r="I60" s="7" t="e">
        <f>VLOOKUP(YEAR($A60),Assumptions!$A$8:$G$15,7)*(MIN(N60,O60)-VLOOKUP(YEAR($A60),Assumptions!$A$8:$G$15,6))/VLOOKUP(YEAR($A60),Assumptions!$A$8:$H$15,5)</f>
        <v>#DIV/0!</v>
      </c>
      <c r="J60" s="11">
        <v>1</v>
      </c>
      <c r="K60" s="38">
        <f>IF(J60=0,MIN(G60,MAX(H60,I60)),IF(J60=-1,H60,IF(J60=-2,MIN(G60,I60),IF(J60=2,#REF!,G60))))</f>
        <v>2.8849999999999998</v>
      </c>
      <c r="L60" s="10">
        <f>K60*VLOOKUP(YEAR($A60),Assumptions!$A$8:$G$15,5)+VLOOKUP(YEAR($A60),Assumptions!$A$8:$G$15,6)</f>
        <v>0</v>
      </c>
      <c r="M60" s="10"/>
      <c r="N60" s="10">
        <f>VLOOKUP(YEAR($A60),Assumptions!$A$8:$C$19,2)*(Prices!B56*$N$10)+VLOOKUP(YEAR($A60),Assumptions!$A$8:$C$19,3)</f>
        <v>27.663378603176408</v>
      </c>
      <c r="O60" s="10">
        <f>$O$9*Prices!$F56+$O$10*Prices!$G56</f>
        <v>52.790163</v>
      </c>
    </row>
    <row r="61" spans="1:16">
      <c r="A61" s="1">
        <f>Prices!A57</f>
        <v>47453</v>
      </c>
      <c r="B61" s="7">
        <f>$C$7*(Prices!C57/$C$8)*(1+$C$9)</f>
        <v>3.2312348438661713</v>
      </c>
      <c r="C61" s="24">
        <v>0</v>
      </c>
      <c r="D61" s="38">
        <f>IF(C61=0,$C$10*VLOOKUP(YEAR($A61),Assumptions!$A$8:$J$31,10),B61)</f>
        <v>0.996</v>
      </c>
      <c r="E61" s="10">
        <f>D61*Assumptions!$K$9+VLOOKUP(YEAR($A61),Assumptions!$A$8:$M$31,13)</f>
        <v>15.546815878598048</v>
      </c>
      <c r="F61" s="5"/>
      <c r="G61" s="40">
        <f>VLOOKUP(YEAR($A61),Assumptions!$A$8:$D$13,4)-$G$10</f>
        <v>2.8849999999999998</v>
      </c>
      <c r="H61" s="7">
        <f>G61-VLOOKUP(YEAR($A61),Assumptions!$A$8:$H$12,8)</f>
        <v>2.2361684782608693</v>
      </c>
      <c r="I61" s="7" t="e">
        <f>VLOOKUP(YEAR($A61),Assumptions!$A$8:$G$15,7)*(MIN(N61,O61)-VLOOKUP(YEAR($A61),Assumptions!$A$8:$G$15,6))/VLOOKUP(YEAR($A61),Assumptions!$A$8:$H$15,5)</f>
        <v>#DIV/0!</v>
      </c>
      <c r="J61" s="11">
        <v>1</v>
      </c>
      <c r="K61" s="38">
        <f>IF(J61=0,MIN(G61,MAX(H61,I61)),IF(J61=-1,H61,IF(J61=-2,MIN(G61,I61),IF(J61=2,#REF!,G61))))</f>
        <v>2.8849999999999998</v>
      </c>
      <c r="L61" s="10">
        <f>K61*VLOOKUP(YEAR($A61),Assumptions!$A$8:$G$15,5)+VLOOKUP(YEAR($A61),Assumptions!$A$8:$G$15,6)</f>
        <v>0</v>
      </c>
      <c r="M61" s="10"/>
      <c r="N61" s="10">
        <f>VLOOKUP(YEAR($A61),Assumptions!$A$8:$C$19,2)*(Prices!B57*$N$10)+VLOOKUP(YEAR($A61),Assumptions!$A$8:$C$19,3)</f>
        <v>33.410663003176417</v>
      </c>
      <c r="O61" s="10">
        <f>$O$9*Prices!$F57+$O$10*Prices!$G57</f>
        <v>63.451879999999996</v>
      </c>
    </row>
    <row r="62" spans="1:16">
      <c r="A62" s="1">
        <f>Prices!A58</f>
        <v>47484</v>
      </c>
      <c r="B62" s="7">
        <f>$C$7*(Prices!C58/$C$8)*(1+$C$9)</f>
        <v>3.5583732081784385</v>
      </c>
      <c r="C62" s="24">
        <v>0</v>
      </c>
      <c r="D62" s="38">
        <f>IF(C62=0,$C$10*VLOOKUP(YEAR($A62),Assumptions!$A$8:$J$31,10),B62)</f>
        <v>1.032</v>
      </c>
      <c r="E62" s="10">
        <f>D62*Assumptions!$K$9+VLOOKUP(YEAR($A62),Assumptions!$A$8:$M$31,13)</f>
        <v>16.037159448087735</v>
      </c>
      <c r="F62" s="5"/>
      <c r="G62" s="40"/>
      <c r="H62" s="7"/>
      <c r="I62" s="7"/>
      <c r="K62" s="7"/>
      <c r="L62" s="10"/>
      <c r="M62" s="10"/>
      <c r="N62" s="10"/>
      <c r="O62" s="10"/>
    </row>
    <row r="63" spans="1:16">
      <c r="A63" s="1">
        <f>Prices!A59</f>
        <v>47515</v>
      </c>
      <c r="B63" s="7">
        <f>$C$7*(Prices!C59/$C$8)*(1+$C$9)</f>
        <v>3.2349523252788104</v>
      </c>
      <c r="C63" s="24">
        <v>0</v>
      </c>
      <c r="D63" s="38">
        <f>IF(C63=0,$C$10*VLOOKUP(YEAR($A63),Assumptions!$A$8:$J$31,10),B63)</f>
        <v>1.032</v>
      </c>
      <c r="E63" s="10">
        <f>D63*Assumptions!$K$9+VLOOKUP(YEAR($A63),Assumptions!$A$8:$M$31,13)</f>
        <v>16.037159448087735</v>
      </c>
      <c r="F63" s="5"/>
      <c r="G63" s="40"/>
      <c r="H63" s="7"/>
      <c r="I63" s="7"/>
      <c r="K63" s="7"/>
      <c r="L63" s="10"/>
      <c r="M63" s="10"/>
      <c r="N63" s="10"/>
      <c r="O63" s="10"/>
    </row>
    <row r="64" spans="1:16">
      <c r="A64" s="1">
        <f>Prices!A60</f>
        <v>47543</v>
      </c>
      <c r="B64" s="7">
        <f>$C$7*(Prices!C60/$C$8)*(1+$C$9)</f>
        <v>2.6066979665427512</v>
      </c>
      <c r="C64" s="24">
        <v>0</v>
      </c>
      <c r="D64" s="38">
        <f>IF(C64=0,$C$10*VLOOKUP(YEAR($A64),Assumptions!$A$8:$J$31,10),B64)</f>
        <v>1.032</v>
      </c>
      <c r="E64" s="10">
        <f>D64*Assumptions!$K$9+VLOOKUP(YEAR($A64),Assumptions!$A$8:$M$31,13)</f>
        <v>16.037159448087735</v>
      </c>
      <c r="F64" s="5"/>
      <c r="G64" s="40"/>
      <c r="H64" s="7"/>
      <c r="I64" s="7"/>
      <c r="K64" s="7"/>
      <c r="L64" s="10"/>
      <c r="M64" s="10"/>
      <c r="N64" s="10"/>
      <c r="O64" s="10"/>
    </row>
    <row r="65" spans="1:15">
      <c r="A65" s="1">
        <f>Prices!A61</f>
        <v>47574</v>
      </c>
      <c r="B65" s="7">
        <f>$C$7*(Prices!C61/$C$8)*(1+$C$9)</f>
        <v>2.3293738531598516</v>
      </c>
      <c r="C65" s="24">
        <v>0</v>
      </c>
      <c r="D65" s="38">
        <f>IF(C65=0,$C$10*VLOOKUP(YEAR($A65),Assumptions!$A$8:$J$31,10),B65)</f>
        <v>1.032</v>
      </c>
      <c r="E65" s="10">
        <f>D65*Assumptions!$K$9+VLOOKUP(YEAR($A65),Assumptions!$A$8:$M$31,13)</f>
        <v>16.037159448087735</v>
      </c>
      <c r="F65" s="5"/>
      <c r="G65" s="40"/>
      <c r="H65" s="7"/>
      <c r="I65" s="7"/>
      <c r="K65" s="7"/>
      <c r="L65" s="10"/>
      <c r="M65" s="10"/>
      <c r="N65" s="10"/>
      <c r="O65" s="10"/>
    </row>
    <row r="66" spans="1:15" ht="15" thickBot="1">
      <c r="A66" s="14">
        <f>Prices!A62</f>
        <v>47604</v>
      </c>
      <c r="B66" s="37">
        <f>$C$7*(Prices!C62/$C$8)*(1+$C$9)</f>
        <v>2.2951730241635691</v>
      </c>
      <c r="C66" s="36">
        <v>0</v>
      </c>
      <c r="D66" s="39">
        <f>IF(C66=0,$C$10*VLOOKUP(YEAR($A66),Assumptions!$A$8:$J$31,10),B66)</f>
        <v>1.032</v>
      </c>
      <c r="E66" s="43">
        <f>D66*Assumptions!$K$9+VLOOKUP(YEAR($A66),Assumptions!$A$8:$M$31,13)</f>
        <v>16.037159448087735</v>
      </c>
      <c r="F66" s="5"/>
      <c r="G66" s="40"/>
      <c r="H66" s="7"/>
      <c r="I66" s="7"/>
      <c r="K66" s="7"/>
      <c r="L66" s="10"/>
      <c r="M66" s="10"/>
      <c r="N66" s="10"/>
      <c r="O66" s="10"/>
    </row>
    <row r="67" spans="1:15">
      <c r="A67" s="1">
        <f>Prices!A63</f>
        <v>47635</v>
      </c>
      <c r="B67" s="7">
        <f>$C$7*(Prices!C63/$C$8)*(1+$C$9)</f>
        <v>2.3821620892193311</v>
      </c>
      <c r="C67" s="24">
        <v>0</v>
      </c>
      <c r="D67" s="38">
        <f>IF(C67=0,$C$10*VLOOKUP(YEAR($A67),Assumptions!$A$8:$J$31,10),B67)</f>
        <v>1.032</v>
      </c>
      <c r="E67" s="10">
        <f>D67*Assumptions!$K$9+VLOOKUP(YEAR($A67),Assumptions!$A$8:$M$31,13)</f>
        <v>16.037159448087735</v>
      </c>
      <c r="F67" s="5"/>
      <c r="G67" s="40"/>
      <c r="H67" s="7"/>
      <c r="I67" s="7"/>
      <c r="K67" s="7"/>
      <c r="L67" s="10"/>
      <c r="M67" s="10"/>
      <c r="N67" s="10"/>
      <c r="O67" s="10"/>
    </row>
    <row r="68" spans="1:15">
      <c r="A68" s="1">
        <f>Prices!A64</f>
        <v>47665</v>
      </c>
      <c r="B68" s="7">
        <f>$C$7*(Prices!C64/$C$8)*(1+$C$9)</f>
        <v>2.5643186784386613</v>
      </c>
      <c r="C68" s="24">
        <v>0</v>
      </c>
      <c r="D68" s="38">
        <f>IF(C68=0,$C$10*VLOOKUP(YEAR($A68),Assumptions!$A$8:$J$31,10),B68)</f>
        <v>1.032</v>
      </c>
      <c r="E68" s="10">
        <f>D68*Assumptions!$K$9+VLOOKUP(YEAR($A68),Assumptions!$A$8:$M$31,13)</f>
        <v>16.037159448087735</v>
      </c>
      <c r="F68" s="5"/>
      <c r="G68" s="40"/>
      <c r="H68" s="7"/>
      <c r="I68" s="7"/>
      <c r="K68" s="7"/>
      <c r="L68" s="10"/>
      <c r="M68" s="10"/>
      <c r="N68" s="10"/>
      <c r="O68" s="10"/>
    </row>
    <row r="69" spans="1:15">
      <c r="A69" s="1">
        <f>Prices!A65</f>
        <v>47696</v>
      </c>
      <c r="B69" s="7">
        <f>$C$7*(Prices!C65/$C$8)*(1+$C$9)</f>
        <v>2.58959755204461</v>
      </c>
      <c r="C69" s="24">
        <v>0</v>
      </c>
      <c r="D69" s="38">
        <f>IF(C69=0,$C$10*VLOOKUP(YEAR($A69),Assumptions!$A$8:$J$31,10),B69)</f>
        <v>1.032</v>
      </c>
      <c r="E69" s="10">
        <f>D69*Assumptions!$K$9+VLOOKUP(YEAR($A69),Assumptions!$A$8:$M$31,13)</f>
        <v>16.037159448087735</v>
      </c>
      <c r="F69" s="5"/>
      <c r="G69" s="40"/>
      <c r="H69" s="7"/>
      <c r="I69" s="7"/>
      <c r="K69" s="7"/>
      <c r="L69" s="10"/>
      <c r="M69" s="10"/>
      <c r="N69" s="10"/>
      <c r="O69" s="10"/>
    </row>
    <row r="70" spans="1:15">
      <c r="A70" s="1">
        <f>Prices!A66</f>
        <v>47727</v>
      </c>
      <c r="B70" s="7">
        <f>$C$7*(Prices!C66/$C$8)*(1+$C$9)</f>
        <v>2.5658056710037176</v>
      </c>
      <c r="C70" s="24">
        <v>0</v>
      </c>
      <c r="D70" s="38">
        <f>IF(C70=0,$C$10*VLOOKUP(YEAR($A70),Assumptions!$A$8:$J$31,10),B70)</f>
        <v>1.032</v>
      </c>
      <c r="E70" s="10">
        <f>D70*Assumptions!$K$9+VLOOKUP(YEAR($A70),Assumptions!$A$8:$M$31,13)</f>
        <v>16.037159448087735</v>
      </c>
      <c r="F70" s="5"/>
      <c r="G70" s="40"/>
      <c r="H70" s="7"/>
      <c r="I70" s="7"/>
      <c r="K70" s="7"/>
      <c r="L70" s="10"/>
      <c r="M70" s="10"/>
      <c r="N70" s="10"/>
      <c r="O70" s="10"/>
    </row>
    <row r="71" spans="1:15">
      <c r="A71" s="1">
        <f>Prices!A67</f>
        <v>47757</v>
      </c>
      <c r="B71" s="7">
        <f>$C$7*(Prices!C67/$C$8)*(1+$C$9)</f>
        <v>2.6237983810408925</v>
      </c>
      <c r="C71" s="24">
        <v>0</v>
      </c>
      <c r="D71" s="38">
        <f>IF(C71=0,$C$10*VLOOKUP(YEAR($A71),Assumptions!$A$8:$J$31,10),B71)</f>
        <v>1.032</v>
      </c>
      <c r="E71" s="10">
        <f>D71*Assumptions!$K$9+VLOOKUP(YEAR($A71),Assumptions!$A$8:$M$31,13)</f>
        <v>16.037159448087735</v>
      </c>
      <c r="F71" s="5"/>
      <c r="G71" s="40"/>
      <c r="H71" s="7"/>
      <c r="I71" s="7"/>
      <c r="K71" s="7"/>
      <c r="L71" s="10"/>
      <c r="M71" s="10"/>
      <c r="N71" s="10"/>
      <c r="O71" s="10"/>
    </row>
    <row r="72" spans="1:15">
      <c r="A72" s="1">
        <f>Prices!A68</f>
        <v>47788</v>
      </c>
      <c r="B72" s="7">
        <f>$C$7*(Prices!C68/$C$8)*(1+$C$9)</f>
        <v>2.7487057565055761</v>
      </c>
      <c r="C72" s="24">
        <v>0</v>
      </c>
      <c r="D72" s="38">
        <f>IF(C72=0,$C$10*VLOOKUP(YEAR($A72),Assumptions!$A$8:$J$31,10),B72)</f>
        <v>1.032</v>
      </c>
      <c r="E72" s="10">
        <f>D72*Assumptions!$K$9+VLOOKUP(YEAR($A72),Assumptions!$A$8:$M$31,13)</f>
        <v>16.037159448087735</v>
      </c>
      <c r="F72" s="5"/>
      <c r="G72" s="40"/>
      <c r="H72" s="7"/>
      <c r="I72" s="7"/>
      <c r="K72" s="7"/>
      <c r="L72" s="10"/>
      <c r="M72" s="10"/>
      <c r="N72" s="10"/>
      <c r="O72" s="10"/>
    </row>
    <row r="73" spans="1:15">
      <c r="A73" s="1">
        <f>Prices!A69</f>
        <v>47818</v>
      </c>
      <c r="B73" s="7">
        <f>$C$7*(Prices!C69/$C$8)*(1+$C$9)</f>
        <v>3.1479632602230483</v>
      </c>
      <c r="C73" s="24">
        <v>0</v>
      </c>
      <c r="D73" s="38">
        <f>IF(C73=0,$C$10*VLOOKUP(YEAR($A73),Assumptions!$A$8:$J$31,10),B73)</f>
        <v>1.032</v>
      </c>
      <c r="E73" s="10">
        <f>D73*Assumptions!$K$9+VLOOKUP(YEAR($A73),Assumptions!$A$8:$M$31,13)</f>
        <v>16.037159448087735</v>
      </c>
      <c r="F73" s="5"/>
      <c r="G73" s="40"/>
      <c r="H73" s="7"/>
      <c r="I73" s="7"/>
      <c r="K73" s="7"/>
      <c r="L73" s="10"/>
      <c r="M73" s="10"/>
      <c r="N73" s="10"/>
      <c r="O73" s="10"/>
    </row>
    <row r="74" spans="1:15">
      <c r="A74" s="1">
        <f>Prices!A70</f>
        <v>47849</v>
      </c>
      <c r="B74" s="7">
        <f>$C$7*(Prices!C70/$C$8)*(1+$C$9)</f>
        <v>3.4542837286245351</v>
      </c>
      <c r="C74" s="24">
        <v>0</v>
      </c>
      <c r="D74" s="38">
        <f>IF(C74=0,$C$10*VLOOKUP(YEAR($A74),Assumptions!$A$8:$J$31,10),B74)</f>
        <v>1.0728</v>
      </c>
      <c r="E74" s="10">
        <f>D74*Assumptions!$K$9+VLOOKUP(YEAR($A74),Assumptions!$A$8:$M$31,13)</f>
        <v>16.577590549421643</v>
      </c>
      <c r="F74" s="5"/>
      <c r="G74" s="40"/>
      <c r="H74" s="7"/>
      <c r="I74" s="7"/>
      <c r="K74" s="7"/>
      <c r="L74" s="10"/>
      <c r="M74" s="10"/>
      <c r="N74" s="10"/>
      <c r="O74" s="10"/>
    </row>
    <row r="75" spans="1:15">
      <c r="A75" s="1">
        <f>Prices!A71</f>
        <v>47880</v>
      </c>
      <c r="B75" s="7">
        <f>$C$7*(Prices!C71/$C$8)*(1+$C$9)</f>
        <v>3.1435022825278809</v>
      </c>
      <c r="C75" s="24">
        <v>0</v>
      </c>
      <c r="D75" s="38">
        <f>IF(C75=0,$C$10*VLOOKUP(YEAR($A75),Assumptions!$A$8:$J$31,10),B75)</f>
        <v>1.0728</v>
      </c>
      <c r="E75" s="10">
        <f>D75*Assumptions!$K$9+VLOOKUP(YEAR($A75),Assumptions!$A$8:$M$31,13)</f>
        <v>16.577590549421643</v>
      </c>
      <c r="F75" s="5"/>
      <c r="G75" s="40"/>
      <c r="H75" s="7"/>
      <c r="I75" s="7"/>
      <c r="K75" s="7"/>
      <c r="L75" s="10"/>
      <c r="M75" s="10"/>
      <c r="N75" s="10"/>
      <c r="O75" s="10"/>
    </row>
    <row r="76" spans="1:15">
      <c r="A76" s="1">
        <f>Prices!A72</f>
        <v>47908</v>
      </c>
      <c r="B76" s="7">
        <f>$C$7*(Prices!C72/$C$8)*(1+$C$9)</f>
        <v>2.5672926635687729</v>
      </c>
      <c r="C76" s="24">
        <v>0</v>
      </c>
      <c r="D76" s="38">
        <f>IF(C76=0,$C$10*VLOOKUP(YEAR($A76),Assumptions!$A$8:$J$31,10),B76)</f>
        <v>1.0728</v>
      </c>
      <c r="E76" s="10">
        <f>D76*Assumptions!$K$9+VLOOKUP(YEAR($A76),Assumptions!$A$8:$M$31,13)</f>
        <v>16.577590549421643</v>
      </c>
      <c r="F76" s="5"/>
      <c r="G76" s="40"/>
      <c r="H76" s="7"/>
      <c r="I76" s="7"/>
      <c r="K76" s="7"/>
      <c r="L76" s="10"/>
      <c r="M76" s="10"/>
      <c r="N76" s="10"/>
      <c r="O76" s="10"/>
    </row>
    <row r="77" spans="1:15">
      <c r="A77" s="1">
        <f>Prices!A73</f>
        <v>47939</v>
      </c>
      <c r="B77" s="7">
        <f>$C$7*(Prices!C73/$C$8)*(1+$C$9)</f>
        <v>2.2921990390334575</v>
      </c>
      <c r="C77" s="24">
        <v>0</v>
      </c>
      <c r="D77" s="38">
        <f>IF(C77=0,$C$10*VLOOKUP(YEAR($A77),Assumptions!$A$8:$J$31,10),B77)</f>
        <v>1.0728</v>
      </c>
      <c r="E77" s="10">
        <f>D77*Assumptions!$K$9+VLOOKUP(YEAR($A77),Assumptions!$A$8:$M$31,13)</f>
        <v>16.577590549421643</v>
      </c>
      <c r="F77" s="5"/>
      <c r="G77" s="40"/>
      <c r="H77" s="7"/>
      <c r="I77" s="7"/>
      <c r="K77" s="7"/>
      <c r="L77" s="10"/>
      <c r="M77" s="10"/>
      <c r="N77" s="10"/>
      <c r="O77" s="10"/>
    </row>
    <row r="78" spans="1:15" ht="15" thickBot="1">
      <c r="A78" s="14">
        <f>Prices!A74</f>
        <v>47969</v>
      </c>
      <c r="B78" s="37">
        <f>$C$7*(Prices!C74/$C$8)*(1+$C$9)</f>
        <v>2.2654331728624535</v>
      </c>
      <c r="C78" s="36">
        <v>0</v>
      </c>
      <c r="D78" s="39">
        <f>IF(C78=0,$C$10*VLOOKUP(YEAR($A78),Assumptions!$A$8:$J$31,10),B78)</f>
        <v>1.0728</v>
      </c>
      <c r="E78" s="43">
        <f>D78*Assumptions!$K$9+VLOOKUP(YEAR($A78),Assumptions!$A$8:$M$31,13)</f>
        <v>16.577590549421643</v>
      </c>
      <c r="F78" s="5"/>
      <c r="G78" s="40"/>
      <c r="H78" s="7"/>
      <c r="I78" s="7"/>
      <c r="K78" s="7"/>
      <c r="L78" s="10"/>
      <c r="M78" s="10"/>
      <c r="N78" s="10"/>
      <c r="O78" s="10"/>
    </row>
    <row r="79" spans="1:15">
      <c r="A79" s="1">
        <f>Prices!A75</f>
        <v>48000</v>
      </c>
      <c r="B79" s="7">
        <f>$C$7*(Prices!C75/$C$8)*(1+$C$9)</f>
        <v>2.3553962230483272</v>
      </c>
      <c r="C79" s="24">
        <v>0</v>
      </c>
      <c r="D79" s="38">
        <f>IF(C79=0,$C$10*VLOOKUP(YEAR($A79),Assumptions!$A$8:$J$31,10),B79)</f>
        <v>1.0728</v>
      </c>
      <c r="E79" s="10">
        <f>D79*Assumptions!$K$9+VLOOKUP(YEAR($A79),Assumptions!$A$8:$M$31,13)</f>
        <v>16.577590549421643</v>
      </c>
      <c r="F79" s="5"/>
      <c r="G79" s="40"/>
      <c r="H79" s="7"/>
      <c r="I79" s="7"/>
      <c r="K79" s="7"/>
      <c r="L79" s="10"/>
      <c r="M79" s="10"/>
      <c r="N79" s="10"/>
      <c r="O79" s="10"/>
    </row>
    <row r="80" spans="1:15">
      <c r="A80" s="1">
        <f>Prices!A76</f>
        <v>48030</v>
      </c>
      <c r="B80" s="7">
        <f>$C$7*(Prices!C76/$C$8)*(1+$C$9)</f>
        <v>2.5055824721189595</v>
      </c>
      <c r="C80" s="24">
        <v>0</v>
      </c>
      <c r="D80" s="38">
        <f>IF(C80=0,$C$10*VLOOKUP(YEAR($A80),Assumptions!$A$8:$J$31,10),B80)</f>
        <v>1.0728</v>
      </c>
      <c r="E80" s="10">
        <f>D80*Assumptions!$K$9+VLOOKUP(YEAR($A80),Assumptions!$A$8:$M$31,13)</f>
        <v>16.577590549421643</v>
      </c>
      <c r="F80" s="5"/>
      <c r="G80" s="40"/>
      <c r="H80" s="7"/>
      <c r="I80" s="7"/>
      <c r="K80" s="7"/>
      <c r="L80" s="10"/>
      <c r="M80" s="10"/>
      <c r="N80" s="10"/>
      <c r="O80" s="10"/>
    </row>
    <row r="81" spans="1:15">
      <c r="A81" s="1">
        <f>Prices!A77</f>
        <v>48061</v>
      </c>
      <c r="B81" s="7">
        <f>$C$7*(Prices!C77/$C$8)*(1+$C$9)</f>
        <v>2.5464747676579926</v>
      </c>
      <c r="C81" s="24">
        <v>0</v>
      </c>
      <c r="D81" s="38">
        <f>IF(C81=0,$C$10*VLOOKUP(YEAR($A81),Assumptions!$A$8:$J$31,10),B81)</f>
        <v>1.0728</v>
      </c>
      <c r="E81" s="10">
        <f>D81*Assumptions!$K$9+VLOOKUP(YEAR($A81),Assumptions!$A$8:$M$31,13)</f>
        <v>16.577590549421643</v>
      </c>
      <c r="F81" s="5"/>
      <c r="G81" s="40"/>
      <c r="H81" s="7"/>
      <c r="I81" s="7"/>
      <c r="K81" s="7"/>
      <c r="L81" s="10"/>
      <c r="M81" s="10"/>
      <c r="N81" s="10"/>
      <c r="O81" s="10"/>
    </row>
    <row r="82" spans="1:15">
      <c r="A82" s="1">
        <f>Prices!A78</f>
        <v>48092</v>
      </c>
      <c r="B82" s="7">
        <f>$C$7*(Prices!C78/$C$8)*(1+$C$9)</f>
        <v>2.5345788271375458</v>
      </c>
      <c r="C82" s="24">
        <v>0</v>
      </c>
      <c r="D82" s="38">
        <f>IF(C82=0,$C$10*VLOOKUP(YEAR($A82),Assumptions!$A$8:$J$31,10),B82)</f>
        <v>1.0728</v>
      </c>
      <c r="E82" s="10">
        <f>D82*Assumptions!$K$9+VLOOKUP(YEAR($A82),Assumptions!$A$8:$M$31,13)</f>
        <v>16.577590549421643</v>
      </c>
      <c r="F82" s="5"/>
      <c r="G82" s="40"/>
      <c r="H82" s="7"/>
      <c r="I82" s="7"/>
      <c r="K82" s="7"/>
      <c r="L82" s="10"/>
      <c r="M82" s="10"/>
      <c r="N82" s="10"/>
      <c r="O82" s="10"/>
    </row>
    <row r="83" spans="1:15">
      <c r="A83" s="1">
        <f>Prices!A79</f>
        <v>48122</v>
      </c>
      <c r="B83" s="7">
        <f>$C$7*(Prices!C79/$C$8)*(1+$C$9)</f>
        <v>2.5925715371747211</v>
      </c>
      <c r="C83" s="24">
        <v>0</v>
      </c>
      <c r="D83" s="38">
        <f>IF(C83=0,$C$10*VLOOKUP(YEAR($A83),Assumptions!$A$8:$J$31,10),B83)</f>
        <v>1.0728</v>
      </c>
      <c r="E83" s="10">
        <f>D83*Assumptions!$K$9+VLOOKUP(YEAR($A83),Assumptions!$A$8:$M$31,13)</f>
        <v>16.577590549421643</v>
      </c>
      <c r="F83" s="5"/>
      <c r="G83" s="40"/>
      <c r="H83" s="7"/>
      <c r="I83" s="7"/>
      <c r="K83" s="7"/>
      <c r="L83" s="10"/>
      <c r="M83" s="10"/>
      <c r="N83" s="10"/>
      <c r="O83" s="10"/>
    </row>
    <row r="84" spans="1:15">
      <c r="A84" s="1">
        <f>Prices!A80</f>
        <v>48153</v>
      </c>
      <c r="B84" s="7">
        <f>$C$7*(Prices!C80/$C$8)*(1+$C$9)</f>
        <v>2.76134519330855</v>
      </c>
      <c r="C84" s="24">
        <v>0</v>
      </c>
      <c r="D84" s="38">
        <f>IF(C84=0,$C$10*VLOOKUP(YEAR($A84),Assumptions!$A$8:$J$31,10),B84)</f>
        <v>1.0728</v>
      </c>
      <c r="E84" s="10">
        <f>D84*Assumptions!$K$9+VLOOKUP(YEAR($A84),Assumptions!$A$8:$M$31,13)</f>
        <v>16.577590549421643</v>
      </c>
      <c r="F84" s="5"/>
      <c r="G84" s="40"/>
      <c r="H84" s="7"/>
      <c r="I84" s="7"/>
      <c r="K84" s="7"/>
      <c r="L84" s="10"/>
      <c r="M84" s="10"/>
      <c r="N84" s="10"/>
      <c r="O84" s="10"/>
    </row>
    <row r="85" spans="1:15">
      <c r="A85" s="1">
        <f>Prices!A81</f>
        <v>48183</v>
      </c>
      <c r="B85" s="7">
        <f>$C$7*(Prices!C81/$C$8)*(1+$C$9)</f>
        <v>3.2089299553903343</v>
      </c>
      <c r="C85" s="24">
        <v>0</v>
      </c>
      <c r="D85" s="38">
        <f>IF(C85=0,$C$10*VLOOKUP(YEAR($A85),Assumptions!$A$8:$J$31,10),B85)</f>
        <v>1.0728</v>
      </c>
      <c r="E85" s="10">
        <f>D85*Assumptions!$K$9+VLOOKUP(YEAR($A85),Assumptions!$A$8:$M$31,13)</f>
        <v>16.577590549421643</v>
      </c>
      <c r="F85" s="5"/>
      <c r="G85" s="40"/>
      <c r="H85" s="7"/>
      <c r="I85" s="7"/>
      <c r="K85" s="7"/>
      <c r="L85" s="10"/>
      <c r="M85" s="10"/>
      <c r="N85" s="10"/>
      <c r="O85" s="10"/>
    </row>
    <row r="86" spans="1:15">
      <c r="A86" s="48">
        <f>EDATE(A74,12)</f>
        <v>48214</v>
      </c>
      <c r="B86" s="47" t="e" cm="1">
        <f t="array" ref="B86">(INDEX(Prices!L:L,_xlfn.XMATCH(A86,Prices!J:J),)/$C$8)*$C$7*(1+$C$9)</f>
        <v>#N/A</v>
      </c>
      <c r="C86" s="24">
        <v>0</v>
      </c>
      <c r="D86" s="38">
        <f>IF(C86=0,$C$10*VLOOKUP(YEAR($A86),Assumptions!$A$8:$J$31,10),B86)</f>
        <v>1.1135663999999998</v>
      </c>
      <c r="E86" s="10">
        <f>D86*Assumptions!$K$9+VLOOKUP(YEAR($A86),Assumptions!$A$8:$M$31,13)</f>
        <v>17.121113887601528</v>
      </c>
      <c r="F86" s="5"/>
    </row>
    <row r="87" spans="1:15">
      <c r="A87" s="48">
        <f t="shared" ref="A87:A133" si="1">EDATE(A75,12)</f>
        <v>48245</v>
      </c>
      <c r="B87" s="47" t="e" cm="1">
        <f t="array" ref="B87">(INDEX(Prices!L:L,_xlfn.XMATCH(A87,Prices!J:J),)/$C$8)*$C$7*(1+$C$9)</f>
        <v>#N/A</v>
      </c>
      <c r="C87" s="24">
        <v>0</v>
      </c>
      <c r="D87" s="38">
        <f>IF(C87=0,$C$10*VLOOKUP(YEAR($A87),Assumptions!$A$8:$J$31,10),B87)</f>
        <v>1.1135663999999998</v>
      </c>
      <c r="E87" s="10">
        <f>D87*Assumptions!$K$9+VLOOKUP(YEAR($A87),Assumptions!$A$8:$M$31,13)</f>
        <v>17.121113887601528</v>
      </c>
      <c r="F87" s="5"/>
    </row>
    <row r="88" spans="1:15">
      <c r="A88" s="48">
        <f t="shared" si="1"/>
        <v>48274</v>
      </c>
      <c r="B88" s="47" t="e" cm="1">
        <f t="array" ref="B88">(INDEX(Prices!L:L,_xlfn.XMATCH(A88,Prices!J:J),)/$C$8)*$C$7*(1+$C$9)</f>
        <v>#N/A</v>
      </c>
      <c r="C88" s="24">
        <v>0</v>
      </c>
      <c r="D88" s="38">
        <f>IF(C88=0,$C$10*VLOOKUP(YEAR($A88),Assumptions!$A$8:$J$31,10),B88)</f>
        <v>1.1135663999999998</v>
      </c>
      <c r="E88" s="10">
        <f>D88*Assumptions!$K$9+VLOOKUP(YEAR($A88),Assumptions!$A$8:$M$31,13)</f>
        <v>17.121113887601528</v>
      </c>
      <c r="F88" s="5"/>
    </row>
    <row r="89" spans="1:15">
      <c r="A89" s="48">
        <f t="shared" si="1"/>
        <v>48305</v>
      </c>
      <c r="B89" s="47" t="e" cm="1">
        <f t="array" ref="B89">(INDEX(Prices!L:L,_xlfn.XMATCH(A89,Prices!J:J),)/$C$8)*$C$7*(1+$C$9)</f>
        <v>#N/A</v>
      </c>
      <c r="C89" s="24">
        <v>0</v>
      </c>
      <c r="D89" s="38">
        <f>IF(C89=0,$C$10*VLOOKUP(YEAR($A89),Assumptions!$A$8:$J$31,10),B89)</f>
        <v>1.1135663999999998</v>
      </c>
      <c r="E89" s="10">
        <f>D89*Assumptions!$K$9+VLOOKUP(YEAR($A89),Assumptions!$A$8:$M$31,13)</f>
        <v>17.121113887601528</v>
      </c>
      <c r="F89" s="5"/>
    </row>
    <row r="90" spans="1:15" ht="15" thickBot="1">
      <c r="A90" s="49">
        <f t="shared" si="1"/>
        <v>48335</v>
      </c>
      <c r="B90" s="50" t="e" cm="1">
        <f t="array" ref="B90">(INDEX(Prices!L:L,_xlfn.XMATCH(A90,Prices!J:J),)/$C$8)*$C$7*(1+$C$9)</f>
        <v>#N/A</v>
      </c>
      <c r="C90" s="36">
        <v>0</v>
      </c>
      <c r="D90" s="39">
        <f>IF(C90=0,$C$10*VLOOKUP(YEAR($A90),Assumptions!$A$8:$J$31,10),B90)</f>
        <v>1.1135663999999998</v>
      </c>
      <c r="E90" s="43">
        <f>D90*Assumptions!$K$9+VLOOKUP(YEAR($A90),Assumptions!$A$8:$M$31,13)</f>
        <v>17.121113887601528</v>
      </c>
      <c r="F90" s="5"/>
    </row>
    <row r="91" spans="1:15">
      <c r="A91" s="48">
        <f t="shared" si="1"/>
        <v>48366</v>
      </c>
      <c r="B91" s="47" t="e" cm="1">
        <f t="array" ref="B91">(INDEX(Prices!L:L,_xlfn.XMATCH(A91,Prices!J:J),)/$C$8)*$C$7*(1+$C$9)</f>
        <v>#N/A</v>
      </c>
      <c r="C91" s="24">
        <v>0</v>
      </c>
      <c r="D91" s="38">
        <f>IF(C91=0,$C$10*VLOOKUP(YEAR($A91),Assumptions!$A$8:$J$31,10),B91)</f>
        <v>1.1135663999999998</v>
      </c>
      <c r="E91" s="10">
        <f>D91*Assumptions!$K$9+VLOOKUP(YEAR($A91),Assumptions!$A$8:$M$31,13)</f>
        <v>17.121113887601528</v>
      </c>
      <c r="F91" s="5"/>
    </row>
    <row r="92" spans="1:15">
      <c r="A92" s="48">
        <f t="shared" si="1"/>
        <v>48396</v>
      </c>
      <c r="B92" s="47" t="e" cm="1">
        <f t="array" ref="B92">(INDEX(Prices!L:L,_xlfn.XMATCH(A92,Prices!J:J),)/$C$8)*$C$7*(1+$C$9)</f>
        <v>#N/A</v>
      </c>
      <c r="C92" s="24">
        <v>0</v>
      </c>
      <c r="D92" s="38">
        <f>IF(C92=0,$C$10*VLOOKUP(YEAR($A92),Assumptions!$A$8:$J$31,10),B92)</f>
        <v>1.1135663999999998</v>
      </c>
      <c r="E92" s="10">
        <f>D92*Assumptions!$K$9+VLOOKUP(YEAR($A92),Assumptions!$A$8:$M$31,13)</f>
        <v>17.121113887601528</v>
      </c>
      <c r="F92" s="5"/>
    </row>
    <row r="93" spans="1:15">
      <c r="A93" s="48">
        <f t="shared" si="1"/>
        <v>48427</v>
      </c>
      <c r="B93" s="47" t="e" cm="1">
        <f t="array" ref="B93">(INDEX(Prices!L:L,_xlfn.XMATCH(A93,Prices!J:J),)/$C$8)*$C$7*(1+$C$9)</f>
        <v>#N/A</v>
      </c>
      <c r="C93" s="24">
        <v>0</v>
      </c>
      <c r="D93" s="38">
        <f>IF(C93=0,$C$10*VLOOKUP(YEAR($A93),Assumptions!$A$8:$J$31,10),B93)</f>
        <v>1.1135663999999998</v>
      </c>
      <c r="E93" s="10">
        <f>D93*Assumptions!$K$9+VLOOKUP(YEAR($A93),Assumptions!$A$8:$M$31,13)</f>
        <v>17.121113887601528</v>
      </c>
      <c r="F93" s="5"/>
    </row>
    <row r="94" spans="1:15">
      <c r="A94" s="48">
        <f t="shared" si="1"/>
        <v>48458</v>
      </c>
      <c r="B94" s="47" t="e" cm="1">
        <f t="array" ref="B94">(INDEX(Prices!L:L,_xlfn.XMATCH(A94,Prices!J:J),)/$C$8)*$C$7*(1+$C$9)</f>
        <v>#N/A</v>
      </c>
      <c r="C94" s="24">
        <v>0</v>
      </c>
      <c r="D94" s="38">
        <f>IF(C94=0,$C$10*VLOOKUP(YEAR($A94),Assumptions!$A$8:$J$31,10),B94)</f>
        <v>1.1135663999999998</v>
      </c>
      <c r="E94" s="10">
        <f>D94*Assumptions!$K$9+VLOOKUP(YEAR($A94),Assumptions!$A$8:$M$31,13)</f>
        <v>17.121113887601528</v>
      </c>
      <c r="F94" s="5"/>
    </row>
    <row r="95" spans="1:15">
      <c r="A95" s="48">
        <f t="shared" si="1"/>
        <v>48488</v>
      </c>
      <c r="B95" s="47" t="e" cm="1">
        <f t="array" ref="B95">(INDEX(Prices!L:L,_xlfn.XMATCH(A95,Prices!J:J),)/$C$8)*$C$7*(1+$C$9)</f>
        <v>#N/A</v>
      </c>
      <c r="C95" s="24">
        <v>0</v>
      </c>
      <c r="D95" s="38">
        <f>IF(C95=0,$C$10*VLOOKUP(YEAR($A95),Assumptions!$A$8:$J$31,10),B95)</f>
        <v>1.1135663999999998</v>
      </c>
      <c r="E95" s="10">
        <f>D95*Assumptions!$K$9+VLOOKUP(YEAR($A95),Assumptions!$A$8:$M$31,13)</f>
        <v>17.121113887601528</v>
      </c>
      <c r="F95" s="5"/>
    </row>
    <row r="96" spans="1:15">
      <c r="A96" s="48">
        <f t="shared" si="1"/>
        <v>48519</v>
      </c>
      <c r="B96" s="47" t="e" cm="1">
        <f t="array" ref="B96">(INDEX(Prices!L:L,_xlfn.XMATCH(A96,Prices!J:J),)/$C$8)*$C$7*(1+$C$9)</f>
        <v>#N/A</v>
      </c>
      <c r="C96" s="24">
        <v>0</v>
      </c>
      <c r="D96" s="38">
        <f>IF(C96=0,$C$10*VLOOKUP(YEAR($A96),Assumptions!$A$8:$J$31,10),B96)</f>
        <v>1.1135663999999998</v>
      </c>
      <c r="E96" s="10">
        <f>D96*Assumptions!$K$9+VLOOKUP(YEAR($A96),Assumptions!$A$8:$M$31,13)</f>
        <v>17.121113887601528</v>
      </c>
      <c r="F96" s="5"/>
    </row>
    <row r="97" spans="1:6">
      <c r="A97" s="48">
        <f t="shared" si="1"/>
        <v>48549</v>
      </c>
      <c r="B97" s="47" t="e" cm="1">
        <f t="array" ref="B97">(INDEX(Prices!L:L,_xlfn.XMATCH(A97,Prices!J:J),)/$C$8)*$C$7*(1+$C$9)</f>
        <v>#N/A</v>
      </c>
      <c r="C97" s="24">
        <v>0</v>
      </c>
      <c r="D97" s="38">
        <f>IF(C97=0,$C$10*VLOOKUP(YEAR($A97),Assumptions!$A$8:$J$31,10),B97)</f>
        <v>1.1135663999999998</v>
      </c>
      <c r="E97" s="10">
        <f>D97*Assumptions!$K$9+VLOOKUP(YEAR($A97),Assumptions!$A$8:$M$31,13)</f>
        <v>17.121113887601528</v>
      </c>
      <c r="F97" s="5"/>
    </row>
    <row r="98" spans="1:6">
      <c r="A98" s="48">
        <f t="shared" si="1"/>
        <v>48580</v>
      </c>
      <c r="B98" s="47" t="e" cm="1">
        <f t="array" ref="B98">(INDEX(Prices!L:L,_xlfn.XMATCH(A98,Prices!J:J),)/$C$8)*$C$7*(1+$C$9)</f>
        <v>#N/A</v>
      </c>
      <c r="C98" s="24">
        <v>0</v>
      </c>
      <c r="D98" s="38">
        <f>IF(C98=0,$C$10*VLOOKUP(YEAR($A98),Assumptions!$A$8:$J$31,10),B98)</f>
        <v>1.1558819231999999</v>
      </c>
      <c r="E98" s="10">
        <f>D98*Assumptions!$K$9+VLOOKUP(YEAR($A98),Assumptions!$A$8:$M$31,13)</f>
        <v>17.683225552677762</v>
      </c>
      <c r="F98" s="5"/>
    </row>
    <row r="99" spans="1:6">
      <c r="A99" s="48">
        <f t="shared" si="1"/>
        <v>48611</v>
      </c>
      <c r="B99" s="47" t="e" cm="1">
        <f t="array" ref="B99">(INDEX(Prices!L:L,_xlfn.XMATCH(A99,Prices!J:J),)/$C$8)*$C$7*(1+$C$9)</f>
        <v>#N/A</v>
      </c>
      <c r="C99" s="24">
        <v>0</v>
      </c>
      <c r="D99" s="38">
        <f>IF(C99=0,$C$10*VLOOKUP(YEAR($A99),Assumptions!$A$8:$J$31,10),B99)</f>
        <v>1.1558819231999999</v>
      </c>
      <c r="E99" s="10">
        <f>D99*Assumptions!$K$9+VLOOKUP(YEAR($A99),Assumptions!$A$8:$M$31,13)</f>
        <v>17.683225552677762</v>
      </c>
      <c r="F99" s="5"/>
    </row>
    <row r="100" spans="1:6">
      <c r="A100" s="48">
        <f t="shared" si="1"/>
        <v>48639</v>
      </c>
      <c r="B100" s="47" t="e" cm="1">
        <f t="array" ref="B100">(INDEX(Prices!L:L,_xlfn.XMATCH(A100,Prices!J:J),)/$C$8)*$C$7*(1+$C$9)</f>
        <v>#N/A</v>
      </c>
      <c r="C100" s="24">
        <v>0</v>
      </c>
      <c r="D100" s="38">
        <f>IF(C100=0,$C$10*VLOOKUP(YEAR($A100),Assumptions!$A$8:$J$31,10),B100)</f>
        <v>1.1558819231999999</v>
      </c>
      <c r="E100" s="10">
        <f>D100*Assumptions!$K$9+VLOOKUP(YEAR($A100),Assumptions!$A$8:$M$31,13)</f>
        <v>17.683225552677762</v>
      </c>
      <c r="F100" s="5"/>
    </row>
    <row r="101" spans="1:6">
      <c r="A101" s="48">
        <f t="shared" si="1"/>
        <v>48670</v>
      </c>
      <c r="B101" s="47" t="e" cm="1">
        <f t="array" ref="B101">(INDEX(Prices!L:L,_xlfn.XMATCH(A101,Prices!J:J),)/$C$8)*$C$7*(1+$C$9)</f>
        <v>#N/A</v>
      </c>
      <c r="C101" s="24">
        <v>0</v>
      </c>
      <c r="D101" s="38">
        <f>IF(C101=0,$C$10*VLOOKUP(YEAR($A101),Assumptions!$A$8:$J$31,10),B101)</f>
        <v>1.1558819231999999</v>
      </c>
      <c r="E101" s="10">
        <f>D101*Assumptions!$K$9+VLOOKUP(YEAR($A101),Assumptions!$A$8:$M$31,13)</f>
        <v>17.683225552677762</v>
      </c>
      <c r="F101" s="5"/>
    </row>
    <row r="102" spans="1:6">
      <c r="A102" s="48">
        <f t="shared" si="1"/>
        <v>48700</v>
      </c>
      <c r="B102" s="47" t="e" cm="1">
        <f t="array" ref="B102">(INDEX(Prices!L:L,_xlfn.XMATCH(A102,Prices!J:J),)/$C$8)*$C$7*(1+$C$9)</f>
        <v>#N/A</v>
      </c>
      <c r="C102" s="24">
        <v>0</v>
      </c>
      <c r="D102" s="38">
        <f>IF(C102=0,$C$10*VLOOKUP(YEAR($A102),Assumptions!$A$8:$J$31,10),B102)</f>
        <v>1.1558819231999999</v>
      </c>
      <c r="E102" s="10">
        <f>D102*Assumptions!$K$9+VLOOKUP(YEAR($A102),Assumptions!$A$8:$M$31,13)</f>
        <v>17.683225552677762</v>
      </c>
      <c r="F102" s="5"/>
    </row>
    <row r="103" spans="1:6">
      <c r="A103" s="48">
        <f t="shared" si="1"/>
        <v>48731</v>
      </c>
      <c r="B103" s="47" t="e" cm="1">
        <f t="array" ref="B103">(INDEX(Prices!L:L,_xlfn.XMATCH(A103,Prices!J:J),)/$C$8)*$C$7*(1+$C$9)</f>
        <v>#N/A</v>
      </c>
      <c r="C103" s="24">
        <v>0</v>
      </c>
      <c r="D103" s="38">
        <f>IF(C103=0,$C$10*VLOOKUP(YEAR($A103),Assumptions!$A$8:$J$31,10),B103)</f>
        <v>1.1558819231999999</v>
      </c>
      <c r="E103" s="10">
        <f>D103*Assumptions!$K$9+VLOOKUP(YEAR($A103),Assumptions!$A$8:$M$31,13)</f>
        <v>17.683225552677762</v>
      </c>
      <c r="F103" s="5"/>
    </row>
    <row r="104" spans="1:6">
      <c r="A104" s="48">
        <f t="shared" si="1"/>
        <v>48761</v>
      </c>
      <c r="B104" s="47" t="e" cm="1">
        <f t="array" ref="B104">(INDEX(Prices!L:L,_xlfn.XMATCH(A104,Prices!J:J),)/$C$8)*$C$7*(1+$C$9)</f>
        <v>#N/A</v>
      </c>
      <c r="C104" s="24">
        <v>0</v>
      </c>
      <c r="D104" s="38">
        <f>IF(C104=0,$C$10*VLOOKUP(YEAR($A104),Assumptions!$A$8:$J$31,10),B104)</f>
        <v>1.1558819231999999</v>
      </c>
      <c r="E104" s="10">
        <f>D104*Assumptions!$K$9+VLOOKUP(YEAR($A104),Assumptions!$A$8:$M$31,13)</f>
        <v>17.683225552677762</v>
      </c>
      <c r="F104" s="5"/>
    </row>
    <row r="105" spans="1:6">
      <c r="A105" s="48">
        <f t="shared" si="1"/>
        <v>48792</v>
      </c>
      <c r="B105" s="47" t="e" cm="1">
        <f t="array" ref="B105">(INDEX(Prices!L:L,_xlfn.XMATCH(A105,Prices!J:J),)/$C$8)*$C$7*(1+$C$9)</f>
        <v>#N/A</v>
      </c>
      <c r="C105" s="24">
        <v>0</v>
      </c>
      <c r="D105" s="38">
        <f>IF(C105=0,$C$10*VLOOKUP(YEAR($A105),Assumptions!$A$8:$J$31,10),B105)</f>
        <v>1.1558819231999999</v>
      </c>
      <c r="E105" s="10">
        <f>D105*Assumptions!$K$9+VLOOKUP(YEAR($A105),Assumptions!$A$8:$M$31,13)</f>
        <v>17.683225552677762</v>
      </c>
      <c r="F105" s="5"/>
    </row>
    <row r="106" spans="1:6">
      <c r="A106" s="48">
        <f t="shared" si="1"/>
        <v>48823</v>
      </c>
      <c r="B106" s="47" t="e" cm="1">
        <f t="array" ref="B106">(INDEX(Prices!L:L,_xlfn.XMATCH(A106,Prices!J:J),)/$C$8)*$C$7*(1+$C$9)</f>
        <v>#N/A</v>
      </c>
      <c r="C106" s="24">
        <v>0</v>
      </c>
      <c r="D106" s="38">
        <f>IF(C106=0,$C$10*VLOOKUP(YEAR($A106),Assumptions!$A$8:$J$31,10),B106)</f>
        <v>1.1558819231999999</v>
      </c>
      <c r="E106" s="10">
        <f>D106*Assumptions!$K$9+VLOOKUP(YEAR($A106),Assumptions!$A$8:$M$31,13)</f>
        <v>17.683225552677762</v>
      </c>
      <c r="F106" s="5"/>
    </row>
    <row r="107" spans="1:6">
      <c r="A107" s="48">
        <f t="shared" si="1"/>
        <v>48853</v>
      </c>
      <c r="B107" s="47" t="e" cm="1">
        <f t="array" ref="B107">(INDEX(Prices!L:L,_xlfn.XMATCH(A107,Prices!J:J),)/$C$8)*$C$7*(1+$C$9)</f>
        <v>#N/A</v>
      </c>
      <c r="C107" s="24">
        <v>0</v>
      </c>
      <c r="D107" s="38">
        <f>IF(C107=0,$C$10*VLOOKUP(YEAR($A107),Assumptions!$A$8:$J$31,10),B107)</f>
        <v>1.1558819231999999</v>
      </c>
      <c r="E107" s="10">
        <f>D107*Assumptions!$K$9+VLOOKUP(YEAR($A107),Assumptions!$A$8:$M$31,13)</f>
        <v>17.683225552677762</v>
      </c>
      <c r="F107" s="5"/>
    </row>
    <row r="108" spans="1:6">
      <c r="A108" s="48">
        <f t="shared" si="1"/>
        <v>48884</v>
      </c>
      <c r="B108" s="47" t="e" cm="1">
        <f t="array" ref="B108">(INDEX(Prices!L:L,_xlfn.XMATCH(A108,Prices!J:J),)/$C$8)*$C$7*(1+$C$9)</f>
        <v>#N/A</v>
      </c>
      <c r="C108" s="24">
        <v>0</v>
      </c>
      <c r="D108" s="38">
        <f>IF(C108=0,$C$10*VLOOKUP(YEAR($A108),Assumptions!$A$8:$J$31,10),B108)</f>
        <v>1.1558819231999999</v>
      </c>
      <c r="E108" s="10">
        <f>D108*Assumptions!$K$9+VLOOKUP(YEAR($A108),Assumptions!$A$8:$M$31,13)</f>
        <v>17.683225552677762</v>
      </c>
      <c r="F108" s="5"/>
    </row>
    <row r="109" spans="1:6">
      <c r="A109" s="48">
        <f t="shared" si="1"/>
        <v>48914</v>
      </c>
      <c r="B109" s="47" t="e" cm="1">
        <f t="array" ref="B109">(INDEX(Prices!L:L,_xlfn.XMATCH(A109,Prices!J:J),)/$C$8)*$C$7*(1+$C$9)</f>
        <v>#N/A</v>
      </c>
      <c r="C109" s="24">
        <v>0</v>
      </c>
      <c r="D109" s="38">
        <f>IF(C109=0,$C$10*VLOOKUP(YEAR($A109),Assumptions!$A$8:$J$31,10),B109)</f>
        <v>1.1558819231999999</v>
      </c>
      <c r="E109" s="10">
        <f>D109*Assumptions!$K$9+VLOOKUP(YEAR($A109),Assumptions!$A$8:$M$31,13)</f>
        <v>17.683225552677762</v>
      </c>
      <c r="F109" s="5"/>
    </row>
    <row r="110" spans="1:6">
      <c r="A110" s="48">
        <f t="shared" si="1"/>
        <v>48945</v>
      </c>
      <c r="B110" s="47" t="e" cm="1">
        <f t="array" ref="B110">(INDEX(Prices!L:L,_xlfn.XMATCH(A110,Prices!J:J),)/$C$8)*$C$7*(1+$C$9)</f>
        <v>#N/A</v>
      </c>
      <c r="C110" s="24">
        <v>0</v>
      </c>
      <c r="D110" s="38">
        <f>IF(C110=0,$C$10*VLOOKUP(YEAR($A110),Assumptions!$A$8:$J$31,10),B110)</f>
        <v>1.1998054362816</v>
      </c>
      <c r="E110" s="10">
        <f>D110*Assumptions!$K$9+VLOOKUP(YEAR($A110),Assumptions!$A$8:$M$31,13)</f>
        <v>18.264582534189497</v>
      </c>
      <c r="F110" s="5"/>
    </row>
    <row r="111" spans="1:6">
      <c r="A111" s="48">
        <f t="shared" si="1"/>
        <v>48976</v>
      </c>
      <c r="B111" s="47" t="e" cm="1">
        <f t="array" ref="B111">(INDEX(Prices!L:L,_xlfn.XMATCH(A111,Prices!J:J),)/$C$8)*$C$7*(1+$C$9)</f>
        <v>#N/A</v>
      </c>
      <c r="C111" s="24">
        <v>0</v>
      </c>
      <c r="D111" s="38">
        <f>IF(C111=0,$C$10*VLOOKUP(YEAR($A111),Assumptions!$A$8:$J$31,10),B111)</f>
        <v>1.1998054362816</v>
      </c>
      <c r="E111" s="10">
        <f>D111*Assumptions!$K$9+VLOOKUP(YEAR($A111),Assumptions!$A$8:$M$31,13)</f>
        <v>18.264582534189497</v>
      </c>
      <c r="F111" s="5"/>
    </row>
    <row r="112" spans="1:6">
      <c r="A112" s="48">
        <f t="shared" si="1"/>
        <v>49004</v>
      </c>
      <c r="B112" s="47" t="e" cm="1">
        <f t="array" ref="B112">(INDEX(Prices!L:L,_xlfn.XMATCH(A112,Prices!J:J),)/$C$8)*$C$7*(1+$C$9)</f>
        <v>#N/A</v>
      </c>
      <c r="C112" s="24">
        <v>0</v>
      </c>
      <c r="D112" s="38">
        <f>IF(C112=0,$C$10*VLOOKUP(YEAR($A112),Assumptions!$A$8:$J$31,10),B112)</f>
        <v>1.1998054362816</v>
      </c>
      <c r="E112" s="10">
        <f>D112*Assumptions!$K$9+VLOOKUP(YEAR($A112),Assumptions!$A$8:$M$31,13)</f>
        <v>18.264582534189497</v>
      </c>
      <c r="F112" s="5"/>
    </row>
    <row r="113" spans="1:6">
      <c r="A113" s="48">
        <f t="shared" si="1"/>
        <v>49035</v>
      </c>
      <c r="B113" s="47" t="e" cm="1">
        <f t="array" ref="B113">(INDEX(Prices!L:L,_xlfn.XMATCH(A113,Prices!J:J),)/$C$8)*$C$7*(1+$C$9)</f>
        <v>#N/A</v>
      </c>
      <c r="C113" s="24">
        <v>0</v>
      </c>
      <c r="D113" s="38">
        <f>IF(C113=0,$C$10*VLOOKUP(YEAR($A113),Assumptions!$A$8:$J$31,10),B113)</f>
        <v>1.1998054362816</v>
      </c>
      <c r="E113" s="10">
        <f>D113*Assumptions!$K$9+VLOOKUP(YEAR($A113),Assumptions!$A$8:$M$31,13)</f>
        <v>18.264582534189497</v>
      </c>
      <c r="F113" s="5"/>
    </row>
    <row r="114" spans="1:6">
      <c r="A114" s="48">
        <f t="shared" si="1"/>
        <v>49065</v>
      </c>
      <c r="B114" s="47" t="e" cm="1">
        <f t="array" ref="B114">(INDEX(Prices!L:L,_xlfn.XMATCH(A114,Prices!J:J),)/$C$8)*$C$7*(1+$C$9)</f>
        <v>#N/A</v>
      </c>
      <c r="C114" s="24">
        <v>0</v>
      </c>
      <c r="D114" s="38">
        <f>IF(C114=0,$C$10*VLOOKUP(YEAR($A114),Assumptions!$A$8:$J$31,10),B114)</f>
        <v>1.1998054362816</v>
      </c>
      <c r="E114" s="10">
        <f>D114*Assumptions!$K$9+VLOOKUP(YEAR($A114),Assumptions!$A$8:$M$31,13)</f>
        <v>18.264582534189497</v>
      </c>
      <c r="F114" s="5"/>
    </row>
    <row r="115" spans="1:6">
      <c r="A115" s="48">
        <f t="shared" si="1"/>
        <v>49096</v>
      </c>
      <c r="B115" s="47" t="e" cm="1">
        <f t="array" ref="B115">(INDEX(Prices!L:L,_xlfn.XMATCH(A115,Prices!J:J),)/$C$8)*$C$7*(1+$C$9)</f>
        <v>#N/A</v>
      </c>
      <c r="C115" s="24">
        <v>0</v>
      </c>
      <c r="D115" s="38">
        <f>IF(C115=0,$C$10*VLOOKUP(YEAR($A115),Assumptions!$A$8:$J$31,10),B115)</f>
        <v>1.1998054362816</v>
      </c>
      <c r="E115" s="10">
        <f>D115*Assumptions!$K$9+VLOOKUP(YEAR($A115),Assumptions!$A$8:$M$31,13)</f>
        <v>18.264582534189497</v>
      </c>
      <c r="F115" s="5"/>
    </row>
    <row r="116" spans="1:6">
      <c r="A116" s="48">
        <f t="shared" si="1"/>
        <v>49126</v>
      </c>
      <c r="B116" s="47" t="e" cm="1">
        <f t="array" ref="B116">(INDEX(Prices!L:L,_xlfn.XMATCH(A116,Prices!J:J),)/$C$8)*$C$7*(1+$C$9)</f>
        <v>#N/A</v>
      </c>
      <c r="C116" s="24">
        <v>0</v>
      </c>
      <c r="D116" s="38">
        <f>IF(C116=0,$C$10*VLOOKUP(YEAR($A116),Assumptions!$A$8:$J$31,10),B116)</f>
        <v>1.1998054362816</v>
      </c>
      <c r="E116" s="10">
        <f>D116*Assumptions!$K$9+VLOOKUP(YEAR($A116),Assumptions!$A$8:$M$31,13)</f>
        <v>18.264582534189497</v>
      </c>
      <c r="F116" s="5"/>
    </row>
    <row r="117" spans="1:6">
      <c r="A117" s="48">
        <f t="shared" si="1"/>
        <v>49157</v>
      </c>
      <c r="B117" s="47" t="e" cm="1">
        <f t="array" ref="B117">(INDEX(Prices!L:L,_xlfn.XMATCH(A117,Prices!J:J),)/$C$8)*$C$7*(1+$C$9)</f>
        <v>#N/A</v>
      </c>
      <c r="C117" s="24">
        <v>0</v>
      </c>
      <c r="D117" s="38">
        <f>IF(C117=0,$C$10*VLOOKUP(YEAR($A117),Assumptions!$A$8:$J$31,10),B117)</f>
        <v>1.1998054362816</v>
      </c>
      <c r="E117" s="10">
        <f>D117*Assumptions!$K$9+VLOOKUP(YEAR($A117),Assumptions!$A$8:$M$31,13)</f>
        <v>18.264582534189497</v>
      </c>
      <c r="F117" s="5"/>
    </row>
    <row r="118" spans="1:6">
      <c r="A118" s="48">
        <f t="shared" si="1"/>
        <v>49188</v>
      </c>
      <c r="B118" s="47" t="e" cm="1">
        <f t="array" ref="B118">(INDEX(Prices!L:L,_xlfn.XMATCH(A118,Prices!J:J),)/$C$8)*$C$7*(1+$C$9)</f>
        <v>#N/A</v>
      </c>
      <c r="C118" s="24">
        <v>0</v>
      </c>
      <c r="D118" s="38">
        <f>IF(C118=0,$C$10*VLOOKUP(YEAR($A118),Assumptions!$A$8:$J$31,10),B118)</f>
        <v>1.1998054362816</v>
      </c>
      <c r="E118" s="10">
        <f>D118*Assumptions!$K$9+VLOOKUP(YEAR($A118),Assumptions!$A$8:$M$31,13)</f>
        <v>18.264582534189497</v>
      </c>
      <c r="F118" s="5"/>
    </row>
    <row r="119" spans="1:6">
      <c r="A119" s="48">
        <f t="shared" si="1"/>
        <v>49218</v>
      </c>
      <c r="B119" s="47" t="e" cm="1">
        <f t="array" ref="B119">(INDEX(Prices!L:L,_xlfn.XMATCH(A119,Prices!J:J),)/$C$8)*$C$7*(1+$C$9)</f>
        <v>#N/A</v>
      </c>
      <c r="C119" s="24">
        <v>0</v>
      </c>
      <c r="D119" s="38">
        <f>IF(C119=0,$C$10*VLOOKUP(YEAR($A119),Assumptions!$A$8:$J$31,10),B119)</f>
        <v>1.1998054362816</v>
      </c>
      <c r="E119" s="10">
        <f>D119*Assumptions!$K$9+VLOOKUP(YEAR($A119),Assumptions!$A$8:$M$31,13)</f>
        <v>18.264582534189497</v>
      </c>
      <c r="F119" s="5"/>
    </row>
    <row r="120" spans="1:6">
      <c r="A120" s="48">
        <f t="shared" si="1"/>
        <v>49249</v>
      </c>
      <c r="B120" s="47" t="e" cm="1">
        <f t="array" ref="B120">(INDEX(Prices!L:L,_xlfn.XMATCH(A120,Prices!J:J),)/$C$8)*$C$7*(1+$C$9)</f>
        <v>#N/A</v>
      </c>
      <c r="C120" s="24">
        <v>0</v>
      </c>
      <c r="D120" s="38">
        <f>IF(C120=0,$C$10*VLOOKUP(YEAR($A120),Assumptions!$A$8:$J$31,10),B120)</f>
        <v>1.1998054362816</v>
      </c>
      <c r="E120" s="10">
        <f>D120*Assumptions!$K$9+VLOOKUP(YEAR($A120),Assumptions!$A$8:$M$31,13)</f>
        <v>18.264582534189497</v>
      </c>
      <c r="F120" s="5"/>
    </row>
    <row r="121" spans="1:6">
      <c r="A121" s="48">
        <f t="shared" si="1"/>
        <v>49279</v>
      </c>
      <c r="B121" s="47" t="e" cm="1">
        <f t="array" ref="B121">(INDEX(Prices!L:L,_xlfn.XMATCH(A121,Prices!J:J),)/$C$8)*$C$7*(1+$C$9)</f>
        <v>#N/A</v>
      </c>
      <c r="C121" s="24">
        <v>0</v>
      </c>
      <c r="D121" s="38">
        <f>IF(C121=0,$C$10*VLOOKUP(YEAR($A121),Assumptions!$A$8:$J$31,10),B121)</f>
        <v>1.1998054362816</v>
      </c>
      <c r="E121" s="10">
        <f>D121*Assumptions!$K$9+VLOOKUP(YEAR($A121),Assumptions!$A$8:$M$31,13)</f>
        <v>18.264582534189497</v>
      </c>
      <c r="F121" s="5"/>
    </row>
    <row r="122" spans="1:6">
      <c r="A122" s="48">
        <f t="shared" si="1"/>
        <v>49310</v>
      </c>
      <c r="B122" s="47" t="e" cm="1">
        <f t="array" ref="B122">(INDEX(Prices!L:L,_xlfn.XMATCH(A122,Prices!J:J),)/$C$8)*$C$7*(1+$C$9)</f>
        <v>#N/A</v>
      </c>
      <c r="C122" s="24">
        <v>0</v>
      </c>
      <c r="D122" s="38">
        <f>IF(C122=0,$C$10*VLOOKUP(YEAR($A122),Assumptions!$A$8:$J$31,10),B122)</f>
        <v>1.2453980428603009</v>
      </c>
      <c r="E122" s="10">
        <f>D122*Assumptions!$K$9+VLOOKUP(YEAR($A122),Assumptions!$A$8:$M$31,13)</f>
        <v>18.865865607409866</v>
      </c>
      <c r="F122" s="5"/>
    </row>
    <row r="123" spans="1:6">
      <c r="A123" s="48">
        <f t="shared" si="1"/>
        <v>49341</v>
      </c>
      <c r="B123" s="47" t="e" cm="1">
        <f t="array" ref="B123">(INDEX(Prices!L:L,_xlfn.XMATCH(A123,Prices!J:J),)/$C$8)*$C$7*(1+$C$9)</f>
        <v>#N/A</v>
      </c>
      <c r="C123" s="24">
        <v>0</v>
      </c>
      <c r="D123" s="38">
        <f>IF(C123=0,$C$10*VLOOKUP(YEAR($A123),Assumptions!$A$8:$J$31,10),B123)</f>
        <v>1.2453980428603009</v>
      </c>
      <c r="E123" s="10">
        <f>D123*Assumptions!$K$9+VLOOKUP(YEAR($A123),Assumptions!$A$8:$M$31,13)</f>
        <v>18.865865607409866</v>
      </c>
      <c r="F123" s="5"/>
    </row>
    <row r="124" spans="1:6">
      <c r="A124" s="48">
        <f t="shared" si="1"/>
        <v>49369</v>
      </c>
      <c r="B124" s="47" t="e" cm="1">
        <f t="array" ref="B124">(INDEX(Prices!L:L,_xlfn.XMATCH(A124,Prices!J:J),)/$C$8)*$C$7*(1+$C$9)</f>
        <v>#N/A</v>
      </c>
      <c r="C124" s="24">
        <v>0</v>
      </c>
      <c r="D124" s="38">
        <f>IF(C124=0,$C$10*VLOOKUP(YEAR($A124),Assumptions!$A$8:$J$31,10),B124)</f>
        <v>1.2453980428603009</v>
      </c>
      <c r="E124" s="10">
        <f>D124*Assumptions!$K$9+VLOOKUP(YEAR($A124),Assumptions!$A$8:$M$31,13)</f>
        <v>18.865865607409866</v>
      </c>
      <c r="F124" s="5"/>
    </row>
    <row r="125" spans="1:6">
      <c r="A125" s="48">
        <f t="shared" si="1"/>
        <v>49400</v>
      </c>
      <c r="B125" s="47" t="e" cm="1">
        <f t="array" ref="B125">(INDEX(Prices!L:L,_xlfn.XMATCH(A125,Prices!J:J),)/$C$8)*$C$7*(1+$C$9)</f>
        <v>#N/A</v>
      </c>
      <c r="C125" s="24">
        <v>0</v>
      </c>
      <c r="D125" s="38">
        <f>IF(C125=0,$C$10*VLOOKUP(YEAR($A125),Assumptions!$A$8:$J$31,10),B125)</f>
        <v>1.2453980428603009</v>
      </c>
      <c r="E125" s="10">
        <f>D125*Assumptions!$K$9+VLOOKUP(YEAR($A125),Assumptions!$A$8:$M$31,13)</f>
        <v>18.865865607409866</v>
      </c>
      <c r="F125" s="5"/>
    </row>
    <row r="126" spans="1:6">
      <c r="A126" s="48">
        <f t="shared" si="1"/>
        <v>49430</v>
      </c>
      <c r="B126" s="47" t="e" cm="1">
        <f t="array" ref="B126">(INDEX(Prices!L:L,_xlfn.XMATCH(A126,Prices!J:J),)/$C$8)*$C$7*(1+$C$9)</f>
        <v>#N/A</v>
      </c>
      <c r="C126" s="24">
        <v>0</v>
      </c>
      <c r="D126" s="38">
        <f>IF(C126=0,$C$10*VLOOKUP(YEAR($A126),Assumptions!$A$8:$J$31,10),B126)</f>
        <v>1.2453980428603009</v>
      </c>
      <c r="E126" s="10">
        <f>D126*Assumptions!$K$9+VLOOKUP(YEAR($A126),Assumptions!$A$8:$M$31,13)</f>
        <v>18.865865607409866</v>
      </c>
      <c r="F126" s="5"/>
    </row>
    <row r="127" spans="1:6">
      <c r="A127" s="48">
        <f t="shared" si="1"/>
        <v>49461</v>
      </c>
      <c r="B127" s="47" t="e" cm="1">
        <f t="array" ref="B127">(INDEX(Prices!L:L,_xlfn.XMATCH(A127,Prices!J:J),)/$C$8)*$C$7*(1+$C$9)</f>
        <v>#N/A</v>
      </c>
      <c r="C127" s="24">
        <v>0</v>
      </c>
      <c r="D127" s="38">
        <f>IF(C127=0,$C$10*VLOOKUP(YEAR($A127),Assumptions!$A$8:$J$31,10),B127)</f>
        <v>1.2453980428603009</v>
      </c>
      <c r="E127" s="10">
        <f>D127*Assumptions!$K$9+VLOOKUP(YEAR($A127),Assumptions!$A$8:$M$31,13)</f>
        <v>18.865865607409866</v>
      </c>
      <c r="F127" s="5"/>
    </row>
    <row r="128" spans="1:6">
      <c r="A128" s="48">
        <f t="shared" si="1"/>
        <v>49491</v>
      </c>
      <c r="B128" s="47" t="e" cm="1">
        <f t="array" ref="B128">(INDEX(Prices!L:L,_xlfn.XMATCH(A128,Prices!J:J),)/$C$8)*$C$7*(1+$C$9)</f>
        <v>#N/A</v>
      </c>
      <c r="C128" s="24">
        <v>0</v>
      </c>
      <c r="D128" s="38">
        <f>IF(C128=0,$C$10*VLOOKUP(YEAR($A128),Assumptions!$A$8:$J$31,10),B128)</f>
        <v>1.2453980428603009</v>
      </c>
      <c r="E128" s="10">
        <f>D128*Assumptions!$K$9+VLOOKUP(YEAR($A128),Assumptions!$A$8:$M$31,13)</f>
        <v>18.865865607409866</v>
      </c>
      <c r="F128" s="5"/>
    </row>
    <row r="129" spans="1:6">
      <c r="A129" s="48">
        <f t="shared" si="1"/>
        <v>49522</v>
      </c>
      <c r="B129" s="47" t="e" cm="1">
        <f t="array" ref="B129">(INDEX(Prices!L:L,_xlfn.XMATCH(A129,Prices!J:J),)/$C$8)*$C$7*(1+$C$9)</f>
        <v>#N/A</v>
      </c>
      <c r="C129" s="24">
        <v>0</v>
      </c>
      <c r="D129" s="38">
        <f>IF(C129=0,$C$10*VLOOKUP(YEAR($A129),Assumptions!$A$8:$J$31,10),B129)</f>
        <v>1.2453980428603009</v>
      </c>
      <c r="E129" s="10">
        <f>D129*Assumptions!$K$9+VLOOKUP(YEAR($A129),Assumptions!$A$8:$M$31,13)</f>
        <v>18.865865607409866</v>
      </c>
      <c r="F129" s="5"/>
    </row>
    <row r="130" spans="1:6">
      <c r="A130" s="48">
        <f t="shared" si="1"/>
        <v>49553</v>
      </c>
      <c r="B130" s="47" t="e" cm="1">
        <f t="array" ref="B130">(INDEX(Prices!L:L,_xlfn.XMATCH(A130,Prices!J:J),)/$C$8)*$C$7*(1+$C$9)</f>
        <v>#N/A</v>
      </c>
      <c r="C130" s="24">
        <v>0</v>
      </c>
      <c r="D130" s="38">
        <f>IF(C130=0,$C$10*VLOOKUP(YEAR($A130),Assumptions!$A$8:$J$31,10),B130)</f>
        <v>1.2453980428603009</v>
      </c>
      <c r="E130" s="10">
        <f>D130*Assumptions!$K$9+VLOOKUP(YEAR($A130),Assumptions!$A$8:$M$31,13)</f>
        <v>18.865865607409866</v>
      </c>
      <c r="F130" s="5"/>
    </row>
    <row r="131" spans="1:6">
      <c r="A131" s="48">
        <f t="shared" si="1"/>
        <v>49583</v>
      </c>
      <c r="B131" s="47" t="e" cm="1">
        <f t="array" ref="B131">(INDEX(Prices!L:L,_xlfn.XMATCH(A131,Prices!J:J),)/$C$8)*$C$7*(1+$C$9)</f>
        <v>#N/A</v>
      </c>
      <c r="C131" s="24">
        <v>0</v>
      </c>
      <c r="D131" s="38">
        <f>IF(C131=0,$C$10*VLOOKUP(YEAR($A131),Assumptions!$A$8:$J$31,10),B131)</f>
        <v>1.2453980428603009</v>
      </c>
      <c r="E131" s="10">
        <f>D131*Assumptions!$K$9+VLOOKUP(YEAR($A131),Assumptions!$A$8:$M$31,13)</f>
        <v>18.865865607409866</v>
      </c>
      <c r="F131" s="5"/>
    </row>
    <row r="132" spans="1:6">
      <c r="A132" s="48">
        <f t="shared" si="1"/>
        <v>49614</v>
      </c>
      <c r="B132" s="47" t="e" cm="1">
        <f t="array" ref="B132">(INDEX(Prices!L:L,_xlfn.XMATCH(A132,Prices!J:J),)/$C$8)*$C$7*(1+$C$9)</f>
        <v>#N/A</v>
      </c>
      <c r="C132" s="24">
        <v>0</v>
      </c>
      <c r="D132" s="38">
        <f>IF(C132=0,$C$10*VLOOKUP(YEAR($A132),Assumptions!$A$8:$J$31,10),B132)</f>
        <v>1.2453980428603009</v>
      </c>
      <c r="E132" s="10">
        <f>D132*Assumptions!$K$9+VLOOKUP(YEAR($A132),Assumptions!$A$8:$M$31,13)</f>
        <v>18.865865607409866</v>
      </c>
      <c r="F132" s="5"/>
    </row>
    <row r="133" spans="1:6">
      <c r="A133" s="48">
        <f t="shared" si="1"/>
        <v>49644</v>
      </c>
      <c r="B133" s="47" t="e" cm="1">
        <f t="array" ref="B133">(INDEX(Prices!L:L,_xlfn.XMATCH(A133,Prices!J:J),)/$C$8)*$C$7*(1+$C$9)</f>
        <v>#N/A</v>
      </c>
      <c r="C133" s="24">
        <v>0</v>
      </c>
      <c r="D133" s="38">
        <f>IF(C133=0,$C$10*VLOOKUP(YEAR($A133),Assumptions!$A$8:$J$31,10),B133)</f>
        <v>1.2453980428603009</v>
      </c>
      <c r="E133" s="10">
        <f>D133*Assumptions!$K$9+VLOOKUP(YEAR($A133),Assumptions!$A$8:$M$31,13)</f>
        <v>18.865865607409866</v>
      </c>
      <c r="F133" s="5"/>
    </row>
    <row r="134" spans="1:6">
      <c r="A134" s="1"/>
      <c r="B134" s="7"/>
      <c r="C134" s="24"/>
      <c r="D134" s="7"/>
      <c r="E134" s="10"/>
      <c r="F134" s="5"/>
    </row>
    <row r="135" spans="1:6">
      <c r="A135" s="1"/>
      <c r="B135" s="7"/>
      <c r="C135" s="24"/>
      <c r="D135" s="7"/>
      <c r="E135" s="10"/>
      <c r="F135" s="5"/>
    </row>
    <row r="136" spans="1:6">
      <c r="A136" s="1"/>
      <c r="B136" s="7"/>
      <c r="C136" s="24"/>
      <c r="D136" s="7"/>
      <c r="E136" s="10"/>
      <c r="F136" s="5"/>
    </row>
    <row r="137" spans="1:6">
      <c r="A137" s="1"/>
      <c r="B137" s="7"/>
      <c r="C137" s="24"/>
      <c r="D137" s="7"/>
      <c r="E137" s="10"/>
      <c r="F137" s="5"/>
    </row>
    <row r="138" spans="1:6">
      <c r="A138" s="1"/>
      <c r="B138" s="7"/>
      <c r="C138" s="24"/>
      <c r="D138" s="7"/>
      <c r="E138" s="10"/>
      <c r="F138" s="5"/>
    </row>
    <row r="139" spans="1:6">
      <c r="A139" s="1"/>
      <c r="B139" s="7"/>
      <c r="C139" s="24"/>
      <c r="D139" s="7"/>
      <c r="E139" s="10"/>
      <c r="F139" s="5"/>
    </row>
    <row r="140" spans="1:6">
      <c r="A140" s="1"/>
      <c r="B140" s="7"/>
      <c r="C140" s="24"/>
      <c r="D140" s="7"/>
      <c r="E140" s="10"/>
      <c r="F140" s="5"/>
    </row>
    <row r="141" spans="1:6">
      <c r="A141" s="1"/>
      <c r="B141" s="7"/>
      <c r="C141" s="24"/>
      <c r="D141" s="7"/>
      <c r="E141" s="10"/>
      <c r="F141" s="5"/>
    </row>
    <row r="142" spans="1:6">
      <c r="A142" s="1"/>
      <c r="B142" s="7"/>
      <c r="C142" s="24"/>
      <c r="D142" s="7"/>
      <c r="E142" s="10"/>
      <c r="F142" s="5"/>
    </row>
    <row r="143" spans="1:6">
      <c r="A143" s="1"/>
      <c r="B143" s="7"/>
      <c r="C143" s="24"/>
      <c r="D143" s="7"/>
      <c r="E143" s="10"/>
      <c r="F143" s="5"/>
    </row>
    <row r="144" spans="1:6">
      <c r="A144" s="1"/>
      <c r="B144" s="7"/>
      <c r="C144" s="24"/>
      <c r="D144" s="7"/>
      <c r="E144" s="10"/>
      <c r="F144" s="5"/>
    </row>
    <row r="145" spans="1:6">
      <c r="A145" s="1"/>
      <c r="B145" s="7"/>
      <c r="C145" s="24"/>
      <c r="D145" s="7"/>
      <c r="E145" s="10"/>
      <c r="F145" s="5"/>
    </row>
    <row r="146" spans="1:6">
      <c r="A146" s="1"/>
    </row>
  </sheetData>
  <mergeCells count="2">
    <mergeCell ref="B3:E3"/>
    <mergeCell ref="G3:L3"/>
  </mergeCells>
  <phoneticPr fontId="26" type="noConversion"/>
  <pageMargins left="0.7" right="0.7" top="0.75" bottom="0.75" header="0.3" footer="0.3"/>
  <pageSetup orientation="portrait" r:id="rId1"/>
  <headerFooter>
    <oddFooter>&amp;L&amp;1#&amp;"Calibri"&amp;10&amp;K000000Confidential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31"/>
  <sheetViews>
    <sheetView zoomScale="80" zoomScaleNormal="80" workbookViewId="0">
      <selection activeCell="N6" sqref="N6:N21"/>
    </sheetView>
  </sheetViews>
  <sheetFormatPr defaultRowHeight="14.25"/>
  <cols>
    <col min="2" max="2" width="9.5" customWidth="1"/>
    <col min="3" max="12" width="7" bestFit="1" customWidth="1"/>
    <col min="14" max="14" width="104" bestFit="1" customWidth="1"/>
    <col min="15" max="15" width="2.5" customWidth="1"/>
  </cols>
  <sheetData>
    <row r="1" spans="1:16" ht="18">
      <c r="A1" s="44"/>
      <c r="B1" s="45" t="s">
        <v>75</v>
      </c>
      <c r="C1" s="46">
        <v>2017</v>
      </c>
    </row>
    <row r="3" spans="1:16" ht="15">
      <c r="A3" s="15" t="s">
        <v>76</v>
      </c>
    </row>
    <row r="4" spans="1:16" ht="15">
      <c r="A4" s="15">
        <v>1</v>
      </c>
      <c r="B4" s="15">
        <v>2</v>
      </c>
      <c r="C4" s="15">
        <v>3</v>
      </c>
      <c r="D4" s="15">
        <v>4</v>
      </c>
      <c r="E4" s="15">
        <v>5</v>
      </c>
      <c r="F4" s="15">
        <v>6</v>
      </c>
      <c r="G4" s="15">
        <v>7</v>
      </c>
      <c r="H4" s="15">
        <v>8</v>
      </c>
      <c r="I4" s="15">
        <v>9</v>
      </c>
      <c r="J4" s="15">
        <v>10</v>
      </c>
      <c r="K4" s="15">
        <v>11</v>
      </c>
      <c r="L4" s="15">
        <v>12</v>
      </c>
    </row>
    <row r="6" spans="1:16" ht="15">
      <c r="A6" s="15" t="str">
        <f>"RTSim Cards with BASE YEAR = " &amp; C1</f>
        <v>RTSim Cards with BASE YEAR = 2017</v>
      </c>
      <c r="N6" s="51" t="e" cm="1">
        <f t="array" aca="1" ref="N6" ca="1">"## " &amp; CELL("filename")</f>
        <v>#VALUE!</v>
      </c>
    </row>
    <row r="7" spans="1:16" ht="15">
      <c r="A7" s="4" t="s">
        <v>77</v>
      </c>
      <c r="N7" s="52" t="s">
        <v>78</v>
      </c>
    </row>
    <row r="8" spans="1:16" ht="15">
      <c r="A8" t="str">
        <f>"FC009:002:" &amp; TEXT(P8 -$C$1+1,"00")</f>
        <v>FC009:002:10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N8" s="16" t="str">
        <f>A8 &amp; "     # " &amp; P8</f>
        <v>FC009:002:10     # 2026</v>
      </c>
      <c r="P8" s="81">
        <v>2026</v>
      </c>
    </row>
    <row r="9" spans="1:16" ht="15">
      <c r="A9" s="3" cm="1">
        <f t="array" ref="A9">INDEX(Calcs!$D:$D,_xlfn.XMATCH(DATE($P8,A$4,1),Calcs!$A:$A),)</f>
        <v>0.95291999999999999</v>
      </c>
      <c r="B9" s="3" cm="1">
        <f t="array" ref="B9">INDEX(Calcs!$D:$D,_xlfn.XMATCH(DATE($P8,B$4,1),Calcs!$A:$A),)</f>
        <v>0.95291999999999999</v>
      </c>
      <c r="C9" s="3" cm="1">
        <f t="array" ref="C9">INDEX(Calcs!$D:$D,_xlfn.XMATCH(DATE($P8,C$4,1),Calcs!$A:$A),)</f>
        <v>0.95291999999999999</v>
      </c>
      <c r="D9" s="3" cm="1">
        <f t="array" ref="D9">INDEX(Calcs!$D:$D,_xlfn.XMATCH(DATE($P8,D$4,1),Calcs!$A:$A),)</f>
        <v>0.95291999999999999</v>
      </c>
      <c r="E9" s="3" cm="1">
        <f t="array" ref="E9">INDEX(Calcs!$D:$D,_xlfn.XMATCH(DATE($P8,E$4,1),Calcs!$A:$A),)</f>
        <v>0.95291999999999999</v>
      </c>
      <c r="F9" s="3" cm="1">
        <f t="array" ref="F9">INDEX(Calcs!$D:$D,_xlfn.XMATCH(DATE($P8,F$4,1),Calcs!$A:$A),)</f>
        <v>0.95291999999999999</v>
      </c>
      <c r="G9" s="3" cm="1">
        <f t="array" ref="G9">INDEX(Calcs!$D:$D,_xlfn.XMATCH(DATE($P8,G$4,1),Calcs!$A:$A),)</f>
        <v>0.95291999999999999</v>
      </c>
      <c r="H9" s="3" cm="1">
        <f t="array" ref="H9">INDEX(Calcs!$D:$D,_xlfn.XMATCH(DATE($P8,H$4,1),Calcs!$A:$A),)</f>
        <v>0.95291999999999999</v>
      </c>
      <c r="I9" s="3" cm="1">
        <f t="array" ref="I9">INDEX(Calcs!$D:$D,_xlfn.XMATCH(DATE($P8,I$4,1),Calcs!$A:$A),)</f>
        <v>0.95291999999999999</v>
      </c>
      <c r="J9" s="3" cm="1">
        <f t="array" ref="J9">INDEX(Calcs!$D:$D,_xlfn.XMATCH(DATE($P8,J$4,1),Calcs!$A:$A),)</f>
        <v>0.95291999999999999</v>
      </c>
      <c r="K9" s="3" cm="1">
        <f t="array" ref="K9">INDEX(Calcs!$D:$D,_xlfn.XMATCH(DATE($P8,K$4,1),Calcs!$A:$A),)</f>
        <v>0.95291999999999999</v>
      </c>
      <c r="L9" s="3" cm="1">
        <f t="array" ref="L9">INDEX(Calcs!$D:$D,_xlfn.XMATCH(DATE($P8,L$4,1),Calcs!$A:$A),)</f>
        <v>0.95291999999999999</v>
      </c>
      <c r="N9" s="16" t="str">
        <f t="shared" ref="N9:N21" si="0">ROUND(A9,5)&amp;",  "&amp;ROUND(B9,5)&amp;",  "&amp;ROUND(C9,5)&amp;",  "&amp;ROUND(D9,5)&amp;",  "&amp;ROUND(E9,5)&amp;",  "&amp;ROUND(F9,5)&amp;",  "&amp;ROUND(G9,5)&amp;",  "&amp;ROUND(H9,5)&amp;",  "&amp;ROUND(I9,5)&amp;",  "&amp;ROUND(J9,5)&amp;",  "&amp;ROUND(K9,5)&amp;",  "&amp;ROUND(L9,5)</f>
        <v>0.95292,  0.95292,  0.95292,  0.95292,  0.95292,  0.95292,  0.95292,  0.95292,  0.95292,  0.95292,  0.95292,  0.95292</v>
      </c>
      <c r="P9" s="81"/>
    </row>
    <row r="10" spans="1:16" ht="15">
      <c r="A10" t="str">
        <f>"FC009:002:" &amp; TEXT(P10 -$C$1+1,"00")</f>
        <v>FC009:002:11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N10" s="16" t="str">
        <f>A10 &amp; "     # " &amp; P10</f>
        <v>FC009:002:11     # 2027</v>
      </c>
      <c r="P10" s="81">
        <v>2027</v>
      </c>
    </row>
    <row r="11" spans="1:16" ht="15">
      <c r="A11" s="3" cm="1">
        <f t="array" ref="A11">INDEX(Calcs!$D:$D,_xlfn.XMATCH(DATE($P10,A$4,1),Calcs!$A:$A),)</f>
        <v>0.92399999999999993</v>
      </c>
      <c r="B11" s="3" cm="1">
        <f t="array" ref="B11">INDEX(Calcs!$D:$D,_xlfn.XMATCH(DATE($P10,B$4,1),Calcs!$A:$A),)</f>
        <v>0.92399999999999993</v>
      </c>
      <c r="C11" s="3" cm="1">
        <f t="array" ref="C11">INDEX(Calcs!$D:$D,_xlfn.XMATCH(DATE($P10,C$4,1),Calcs!$A:$A),)</f>
        <v>0.92399999999999993</v>
      </c>
      <c r="D11" s="3" cm="1">
        <f t="array" ref="D11">INDEX(Calcs!$D:$D,_xlfn.XMATCH(DATE($P10,D$4,1),Calcs!$A:$A),)</f>
        <v>0.92399999999999993</v>
      </c>
      <c r="E11" s="3" cm="1">
        <f t="array" ref="E11">INDEX(Calcs!$D:$D,_xlfn.XMATCH(DATE($P10,E$4,1),Calcs!$A:$A),)</f>
        <v>0.92399999999999993</v>
      </c>
      <c r="F11" s="3" cm="1">
        <f t="array" ref="F11">INDEX(Calcs!$D:$D,_xlfn.XMATCH(DATE($P10,F$4,1),Calcs!$A:$A),)</f>
        <v>0.92399999999999993</v>
      </c>
      <c r="G11" s="3" cm="1">
        <f t="array" ref="G11">INDEX(Calcs!$D:$D,_xlfn.XMATCH(DATE($P10,G$4,1),Calcs!$A:$A),)</f>
        <v>0.92399999999999993</v>
      </c>
      <c r="H11" s="3" cm="1">
        <f t="array" ref="H11">INDEX(Calcs!$D:$D,_xlfn.XMATCH(DATE($P10,H$4,1),Calcs!$A:$A),)</f>
        <v>0.92399999999999993</v>
      </c>
      <c r="I11" s="3" cm="1">
        <f t="array" ref="I11">INDEX(Calcs!$D:$D,_xlfn.XMATCH(DATE($P10,I$4,1),Calcs!$A:$A),)</f>
        <v>0.92399999999999993</v>
      </c>
      <c r="J11" s="3" cm="1">
        <f t="array" ref="J11">INDEX(Calcs!$D:$D,_xlfn.XMATCH(DATE($P10,J$4,1),Calcs!$A:$A),)</f>
        <v>0.92399999999999993</v>
      </c>
      <c r="K11" s="3" cm="1">
        <f t="array" ref="K11">INDEX(Calcs!$D:$D,_xlfn.XMATCH(DATE($P10,K$4,1),Calcs!$A:$A),)</f>
        <v>0.92399999999999993</v>
      </c>
      <c r="L11" s="3" cm="1">
        <f t="array" ref="L11">INDEX(Calcs!$D:$D,_xlfn.XMATCH(DATE($P10,L$4,1),Calcs!$A:$A),)</f>
        <v>0.92399999999999993</v>
      </c>
      <c r="N11" s="16" t="str">
        <f t="shared" si="0"/>
        <v>0.924,  0.924,  0.924,  0.924,  0.924,  0.924,  0.924,  0.924,  0.924,  0.924,  0.924,  0.924</v>
      </c>
      <c r="P11" s="81"/>
    </row>
    <row r="12" spans="1:16" ht="15">
      <c r="A12" t="str">
        <f>"FC009:002:" &amp; TEXT(P12 -$C$1+1,"00")</f>
        <v>FC009:002:12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N12" s="16" t="str">
        <f>A12 &amp; "     # " &amp; P12</f>
        <v>FC009:002:12     # 2028</v>
      </c>
      <c r="P12" s="81">
        <v>2028</v>
      </c>
    </row>
    <row r="13" spans="1:16" ht="15">
      <c r="A13" s="3" cm="1">
        <f t="array" ref="A13">INDEX(Calcs!$D:$D,_xlfn.XMATCH(DATE($P12,A$4,1),Calcs!$A:$A),)</f>
        <v>0.96</v>
      </c>
      <c r="B13" s="3" cm="1">
        <f t="array" ref="B13">INDEX(Calcs!$D:$D,_xlfn.XMATCH(DATE($P12,B$4,1),Calcs!$A:$A),)</f>
        <v>0.96</v>
      </c>
      <c r="C13" s="3" cm="1">
        <f t="array" ref="C13">INDEX(Calcs!$D:$D,_xlfn.XMATCH(DATE($P12,C$4,1),Calcs!$A:$A),)</f>
        <v>0.96</v>
      </c>
      <c r="D13" s="3" cm="1">
        <f t="array" ref="D13">INDEX(Calcs!$D:$D,_xlfn.XMATCH(DATE($P12,D$4,1),Calcs!$A:$A),)</f>
        <v>0.96</v>
      </c>
      <c r="E13" s="3" cm="1">
        <f t="array" ref="E13">INDEX(Calcs!$D:$D,_xlfn.XMATCH(DATE($P12,E$4,1),Calcs!$A:$A),)</f>
        <v>0.96</v>
      </c>
      <c r="F13" s="3" cm="1">
        <f t="array" ref="F13">INDEX(Calcs!$D:$D,_xlfn.XMATCH(DATE($P12,F$4,1),Calcs!$A:$A),)</f>
        <v>0.96</v>
      </c>
      <c r="G13" s="3" cm="1">
        <f t="array" ref="G13">INDEX(Calcs!$D:$D,_xlfn.XMATCH(DATE($P12,G$4,1),Calcs!$A:$A),)</f>
        <v>0.96</v>
      </c>
      <c r="H13" s="3" cm="1">
        <f t="array" ref="H13">INDEX(Calcs!$D:$D,_xlfn.XMATCH(DATE($P12,H$4,1),Calcs!$A:$A),)</f>
        <v>0.96</v>
      </c>
      <c r="I13" s="3" cm="1">
        <f t="array" ref="I13">INDEX(Calcs!$D:$D,_xlfn.XMATCH(DATE($P12,I$4,1),Calcs!$A:$A),)</f>
        <v>0.96</v>
      </c>
      <c r="J13" s="3" cm="1">
        <f t="array" ref="J13">INDEX(Calcs!$D:$D,_xlfn.XMATCH(DATE($P12,J$4,1),Calcs!$A:$A),)</f>
        <v>0.96</v>
      </c>
      <c r="K13" s="3" cm="1">
        <f t="array" ref="K13">INDEX(Calcs!$D:$D,_xlfn.XMATCH(DATE($P12,K$4,1),Calcs!$A:$A),)</f>
        <v>0.96</v>
      </c>
      <c r="L13" s="3" cm="1">
        <f t="array" ref="L13">INDEX(Calcs!$D:$D,_xlfn.XMATCH(DATE($P12,L$4,1),Calcs!$A:$A),)</f>
        <v>0.96</v>
      </c>
      <c r="N13" s="16" t="str">
        <f t="shared" si="0"/>
        <v>0.96,  0.96,  0.96,  0.96,  0.96,  0.96,  0.96,  0.96,  0.96,  0.96,  0.96,  0.96</v>
      </c>
      <c r="P13" s="81"/>
    </row>
    <row r="14" spans="1:16" ht="15">
      <c r="A14" t="str">
        <f>"FC009:002:" &amp; TEXT(P14 -$C$1+1,"00")</f>
        <v>FC009:002:13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N14" s="16" t="str">
        <f>A14 &amp; "     # " &amp; P14</f>
        <v>FC009:002:13     # 2029</v>
      </c>
      <c r="P14" s="81">
        <v>2029</v>
      </c>
    </row>
    <row r="15" spans="1:16" ht="15">
      <c r="A15" s="3" cm="1">
        <f t="array" ref="A15">INDEX(Calcs!$D:$D,_xlfn.XMATCH(DATE($P14,A$4,1),Calcs!$A:$A),)</f>
        <v>0.996</v>
      </c>
      <c r="B15" s="3" cm="1">
        <f t="array" ref="B15">INDEX(Calcs!$D:$D,_xlfn.XMATCH(DATE($P14,B$4,1),Calcs!$A:$A),)</f>
        <v>0.996</v>
      </c>
      <c r="C15" s="3" cm="1">
        <f t="array" ref="C15">INDEX(Calcs!$D:$D,_xlfn.XMATCH(DATE($P14,C$4,1),Calcs!$A:$A),)</f>
        <v>0.996</v>
      </c>
      <c r="D15" s="3" cm="1">
        <f t="array" ref="D15">INDEX(Calcs!$D:$D,_xlfn.XMATCH(DATE($P14,D$4,1),Calcs!$A:$A),)</f>
        <v>0.996</v>
      </c>
      <c r="E15" s="3" cm="1">
        <f t="array" ref="E15">INDEX(Calcs!$D:$D,_xlfn.XMATCH(DATE($P14,E$4,1),Calcs!$A:$A),)</f>
        <v>0.996</v>
      </c>
      <c r="F15" s="3" cm="1">
        <f t="array" ref="F15">INDEX(Calcs!$D:$D,_xlfn.XMATCH(DATE($P14,F$4,1),Calcs!$A:$A),)</f>
        <v>0.996</v>
      </c>
      <c r="G15" s="3" cm="1">
        <f t="array" ref="G15">INDEX(Calcs!$D:$D,_xlfn.XMATCH(DATE($P14,G$4,1),Calcs!$A:$A),)</f>
        <v>0.996</v>
      </c>
      <c r="H15" s="3" cm="1">
        <f t="array" ref="H15">INDEX(Calcs!$D:$D,_xlfn.XMATCH(DATE($P14,H$4,1),Calcs!$A:$A),)</f>
        <v>0.996</v>
      </c>
      <c r="I15" s="3" cm="1">
        <f t="array" ref="I15">INDEX(Calcs!$D:$D,_xlfn.XMATCH(DATE($P14,I$4,1),Calcs!$A:$A),)</f>
        <v>0.996</v>
      </c>
      <c r="J15" s="3" cm="1">
        <f t="array" ref="J15">INDEX(Calcs!$D:$D,_xlfn.XMATCH(DATE($P14,J$4,1),Calcs!$A:$A),)</f>
        <v>0.996</v>
      </c>
      <c r="K15" s="3" cm="1">
        <f t="array" ref="K15">INDEX(Calcs!$D:$D,_xlfn.XMATCH(DATE($P14,K$4,1),Calcs!$A:$A),)</f>
        <v>0.996</v>
      </c>
      <c r="L15" s="3" cm="1">
        <f t="array" ref="L15">INDEX(Calcs!$D:$D,_xlfn.XMATCH(DATE($P14,L$4,1),Calcs!$A:$A),)</f>
        <v>0.996</v>
      </c>
      <c r="N15" s="16" t="str">
        <f t="shared" si="0"/>
        <v>0.996,  0.996,  0.996,  0.996,  0.996,  0.996,  0.996,  0.996,  0.996,  0.996,  0.996,  0.996</v>
      </c>
      <c r="P15" s="81"/>
    </row>
    <row r="16" spans="1:16" ht="15">
      <c r="A16" t="str">
        <f>"FC009:002:" &amp; TEXT(P16 -$C$1+1,"00")</f>
        <v>FC009:002:14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N16" s="16" t="str">
        <f>A16 &amp; "     # " &amp; P16</f>
        <v>FC009:002:14     # 2030</v>
      </c>
      <c r="P16" s="81">
        <v>2030</v>
      </c>
    </row>
    <row r="17" spans="1:16" ht="15">
      <c r="A17" s="3" cm="1">
        <f t="array" ref="A17">INDEX(Calcs!$D:$D,_xlfn.XMATCH(DATE($P16,A$4,1),Calcs!$A:$A),)</f>
        <v>1.032</v>
      </c>
      <c r="B17" s="3" cm="1">
        <f t="array" ref="B17">INDEX(Calcs!$D:$D,_xlfn.XMATCH(DATE($P16,B$4,1),Calcs!$A:$A),)</f>
        <v>1.032</v>
      </c>
      <c r="C17" s="3" cm="1">
        <f t="array" ref="C17">INDEX(Calcs!$D:$D,_xlfn.XMATCH(DATE($P16,C$4,1),Calcs!$A:$A),)</f>
        <v>1.032</v>
      </c>
      <c r="D17" s="3" cm="1">
        <f t="array" ref="D17">INDEX(Calcs!$D:$D,_xlfn.XMATCH(DATE($P16,D$4,1),Calcs!$A:$A),)</f>
        <v>1.032</v>
      </c>
      <c r="E17" s="3" cm="1">
        <f t="array" ref="E17">INDEX(Calcs!$D:$D,_xlfn.XMATCH(DATE($P16,E$4,1),Calcs!$A:$A),)</f>
        <v>1.032</v>
      </c>
      <c r="F17" s="3" cm="1">
        <f t="array" ref="F17">INDEX(Calcs!$D:$D,_xlfn.XMATCH(DATE($P16,F$4,1),Calcs!$A:$A),)</f>
        <v>1.032</v>
      </c>
      <c r="G17" s="3" cm="1">
        <f t="array" ref="G17">INDEX(Calcs!$D:$D,_xlfn.XMATCH(DATE($P16,G$4,1),Calcs!$A:$A),)</f>
        <v>1.032</v>
      </c>
      <c r="H17" s="3" cm="1">
        <f t="array" ref="H17">INDEX(Calcs!$D:$D,_xlfn.XMATCH(DATE($P16,H$4,1),Calcs!$A:$A),)</f>
        <v>1.032</v>
      </c>
      <c r="I17" s="3" cm="1">
        <f t="array" ref="I17">INDEX(Calcs!$D:$D,_xlfn.XMATCH(DATE($P16,I$4,1),Calcs!$A:$A),)</f>
        <v>1.032</v>
      </c>
      <c r="J17" s="3" cm="1">
        <f t="array" ref="J17">INDEX(Calcs!$D:$D,_xlfn.XMATCH(DATE($P16,J$4,1),Calcs!$A:$A),)</f>
        <v>1.032</v>
      </c>
      <c r="K17" s="3" cm="1">
        <f t="array" ref="K17">INDEX(Calcs!$D:$D,_xlfn.XMATCH(DATE($P16,K$4,1),Calcs!$A:$A),)</f>
        <v>1.032</v>
      </c>
      <c r="L17" s="3" cm="1">
        <f t="array" ref="L17">INDEX(Calcs!$D:$D,_xlfn.XMATCH(DATE($P16,L$4,1),Calcs!$A:$A),)</f>
        <v>1.032</v>
      </c>
      <c r="N17" s="16" t="str">
        <f t="shared" si="0"/>
        <v>1.032,  1.032,  1.032,  1.032,  1.032,  1.032,  1.032,  1.032,  1.032,  1.032,  1.032,  1.032</v>
      </c>
      <c r="P17" s="81"/>
    </row>
    <row r="18" spans="1:16" ht="15">
      <c r="A18" t="str">
        <f>"FC009:002:" &amp; TEXT(P18 -$C$1+1,"00")</f>
        <v>FC009:002:15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N18" s="16" t="str">
        <f>A18 &amp; "     # " &amp; P18</f>
        <v>FC009:002:15     # 2031</v>
      </c>
      <c r="P18" s="81">
        <v>2031</v>
      </c>
    </row>
    <row r="19" spans="1:16" ht="15">
      <c r="A19" s="3" cm="1">
        <f t="array" ref="A19">INDEX(Calcs!$D:$D,_xlfn.XMATCH(DATE($P18,A$4,1),Calcs!$A:$A),)</f>
        <v>1.0728</v>
      </c>
      <c r="B19" s="3" cm="1">
        <f t="array" ref="B19">INDEX(Calcs!$D:$D,_xlfn.XMATCH(DATE($P18,B$4,1),Calcs!$A:$A),)</f>
        <v>1.0728</v>
      </c>
      <c r="C19" s="3" cm="1">
        <f t="array" ref="C19">INDEX(Calcs!$D:$D,_xlfn.XMATCH(DATE($P18,C$4,1),Calcs!$A:$A),)</f>
        <v>1.0728</v>
      </c>
      <c r="D19" s="3" cm="1">
        <f t="array" ref="D19">INDEX(Calcs!$D:$D,_xlfn.XMATCH(DATE($P18,D$4,1),Calcs!$A:$A),)</f>
        <v>1.0728</v>
      </c>
      <c r="E19" s="3" cm="1">
        <f t="array" ref="E19">INDEX(Calcs!$D:$D,_xlfn.XMATCH(DATE($P18,E$4,1),Calcs!$A:$A),)</f>
        <v>1.0728</v>
      </c>
      <c r="F19" s="3" cm="1">
        <f t="array" ref="F19">INDEX(Calcs!$D:$D,_xlfn.XMATCH(DATE($P18,F$4,1),Calcs!$A:$A),)</f>
        <v>1.0728</v>
      </c>
      <c r="G19" s="3" cm="1">
        <f t="array" ref="G19">INDEX(Calcs!$D:$D,_xlfn.XMATCH(DATE($P18,G$4,1),Calcs!$A:$A),)</f>
        <v>1.0728</v>
      </c>
      <c r="H19" s="3" cm="1">
        <f t="array" ref="H19">INDEX(Calcs!$D:$D,_xlfn.XMATCH(DATE($P18,H$4,1),Calcs!$A:$A),)</f>
        <v>1.0728</v>
      </c>
      <c r="I19" s="3" cm="1">
        <f t="array" ref="I19">INDEX(Calcs!$D:$D,_xlfn.XMATCH(DATE($P18,I$4,1),Calcs!$A:$A),)</f>
        <v>1.0728</v>
      </c>
      <c r="J19" s="3" cm="1">
        <f t="array" ref="J19">INDEX(Calcs!$D:$D,_xlfn.XMATCH(DATE($P18,J$4,1),Calcs!$A:$A),)</f>
        <v>1.0728</v>
      </c>
      <c r="K19" s="3" cm="1">
        <f t="array" ref="K19">INDEX(Calcs!$D:$D,_xlfn.XMATCH(DATE($P18,K$4,1),Calcs!$A:$A),)</f>
        <v>1.0728</v>
      </c>
      <c r="L19" s="3" cm="1">
        <f t="array" ref="L19">INDEX(Calcs!$D:$D,_xlfn.XMATCH(DATE($P18,L$4,1),Calcs!$A:$A),)</f>
        <v>1.0728</v>
      </c>
      <c r="N19" s="16" t="str">
        <f t="shared" si="0"/>
        <v>1.0728,  1.0728,  1.0728,  1.0728,  1.0728,  1.0728,  1.0728,  1.0728,  1.0728,  1.0728,  1.0728,  1.0728</v>
      </c>
      <c r="P19" s="81"/>
    </row>
    <row r="20" spans="1:16" ht="15">
      <c r="A20" t="str">
        <f>"FC009:002:" &amp; TEXT(P20 -$C$1+1,"00")</f>
        <v>FC009:002:16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N20" s="16" t="str">
        <f>A20 &amp; "     # " &amp; P20</f>
        <v>FC009:002:16     # 2032</v>
      </c>
      <c r="P20" s="81">
        <v>2032</v>
      </c>
    </row>
    <row r="21" spans="1:16" ht="15">
      <c r="A21" s="3" cm="1">
        <f t="array" ref="A21">INDEX(Calcs!$D:$D,_xlfn.XMATCH(DATE($P20,A$4,1),Calcs!$A:$A),)</f>
        <v>1.1135663999999998</v>
      </c>
      <c r="B21" s="3" cm="1">
        <f t="array" ref="B21">INDEX(Calcs!$D:$D,_xlfn.XMATCH(DATE($P20,B$4,1),Calcs!$A:$A),)</f>
        <v>1.1135663999999998</v>
      </c>
      <c r="C21" s="3" cm="1">
        <f t="array" ref="C21">INDEX(Calcs!$D:$D,_xlfn.XMATCH(DATE($P20,C$4,1),Calcs!$A:$A),)</f>
        <v>1.1135663999999998</v>
      </c>
      <c r="D21" s="3" cm="1">
        <f t="array" ref="D21">INDEX(Calcs!$D:$D,_xlfn.XMATCH(DATE($P20,D$4,1),Calcs!$A:$A),)</f>
        <v>1.1135663999999998</v>
      </c>
      <c r="E21" s="3" cm="1">
        <f t="array" ref="E21">INDEX(Calcs!$D:$D,_xlfn.XMATCH(DATE($P20,E$4,1),Calcs!$A:$A),)</f>
        <v>1.1135663999999998</v>
      </c>
      <c r="F21" s="3" cm="1">
        <f t="array" ref="F21">INDEX(Calcs!$D:$D,_xlfn.XMATCH(DATE($P20,F$4,1),Calcs!$A:$A),)</f>
        <v>1.1135663999999998</v>
      </c>
      <c r="G21" s="3" cm="1">
        <f t="array" ref="G21">INDEX(Calcs!$D:$D,_xlfn.XMATCH(DATE($P20,G$4,1),Calcs!$A:$A),)</f>
        <v>1.1135663999999998</v>
      </c>
      <c r="H21" s="3" cm="1">
        <f t="array" ref="H21">INDEX(Calcs!$D:$D,_xlfn.XMATCH(DATE($P20,H$4,1),Calcs!$A:$A),)</f>
        <v>1.1135663999999998</v>
      </c>
      <c r="I21" s="3" cm="1">
        <f t="array" ref="I21">INDEX(Calcs!$D:$D,_xlfn.XMATCH(DATE($P20,I$4,1),Calcs!$A:$A),)</f>
        <v>1.1135663999999998</v>
      </c>
      <c r="J21" s="3" cm="1">
        <f t="array" ref="J21">INDEX(Calcs!$D:$D,_xlfn.XMATCH(DATE($P20,J$4,1),Calcs!$A:$A),)</f>
        <v>1.1135663999999998</v>
      </c>
      <c r="K21" s="3" cm="1">
        <f t="array" ref="K21">INDEX(Calcs!$D:$D,_xlfn.XMATCH(DATE($P20,K$4,1),Calcs!$A:$A),)</f>
        <v>1.1135663999999998</v>
      </c>
      <c r="L21" s="3" cm="1">
        <f t="array" ref="L21">INDEX(Calcs!$D:$D,_xlfn.XMATCH(DATE($P20,L$4,1),Calcs!$A:$A),)</f>
        <v>1.1135663999999998</v>
      </c>
      <c r="N21" s="16" t="str">
        <f t="shared" si="0"/>
        <v>1.11357,  1.11357,  1.11357,  1.11357,  1.11357,  1.11357,  1.11357,  1.11357,  1.11357,  1.11357,  1.11357,  1.11357</v>
      </c>
      <c r="P21" s="81"/>
    </row>
    <row r="22" spans="1:16" ht="15">
      <c r="A22" t="str">
        <f>"FC009:002:" &amp; TEXT(P22 -$C$1+1,"00")</f>
        <v>FC009:002:17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N22" s="16"/>
      <c r="P22" s="81">
        <v>2033</v>
      </c>
    </row>
    <row r="23" spans="1:16" ht="15">
      <c r="A23" s="3" cm="1">
        <f t="array" ref="A23">INDEX(Calcs!$D:$D,_xlfn.XMATCH(DATE($P22,A$4,1),Calcs!$A:$A),)</f>
        <v>1.1558819231999999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N23" s="16"/>
      <c r="P23" s="81"/>
    </row>
    <row r="24" spans="1:16" ht="15">
      <c r="A24" t="str">
        <f>"FC009:002:" &amp; TEXT(P24 -$C$1+1,"00")</f>
        <v>FC009:002:18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N24" s="16"/>
      <c r="P24" s="81">
        <v>2034</v>
      </c>
    </row>
    <row r="25" spans="1:16" ht="15">
      <c r="A25" s="3" cm="1">
        <f t="array" ref="A25">INDEX(Calcs!$D:$D,_xlfn.XMATCH(DATE($P24,A$4,1),Calcs!$A:$A),)</f>
        <v>1.1998054362816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N25" s="16"/>
      <c r="P25" s="81"/>
    </row>
    <row r="26" spans="1:16" ht="15">
      <c r="A26" t="str">
        <f>"FC009:002:" &amp; TEXT(P26 -$C$1+1,"00")</f>
        <v>FC009:002:19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N26" s="16"/>
      <c r="P26" s="81">
        <v>2035</v>
      </c>
    </row>
    <row r="27" spans="1:16" ht="15">
      <c r="A27" s="3" cm="1">
        <f t="array" ref="A27">INDEX(Calcs!$D:$D,_xlfn.XMATCH(DATE($P26,A$4,1),Calcs!$A:$A),)</f>
        <v>1.2453980428603009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N27" s="16"/>
      <c r="P27" s="81"/>
    </row>
    <row r="28" spans="1:16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N28" s="16"/>
      <c r="P28" s="82"/>
    </row>
    <row r="29" spans="1:16" ht="15">
      <c r="A29" s="4" t="s">
        <v>79</v>
      </c>
      <c r="N29" s="52" t="s">
        <v>80</v>
      </c>
      <c r="P29" s="82"/>
    </row>
    <row r="30" spans="1:16" ht="15">
      <c r="A30" t="str">
        <f>"FC009:007:"  &amp; TEXT(P30 -$C$1+1,"00")</f>
        <v>FC009:007:10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N30" s="16" t="str">
        <f>A30 &amp; "  # Year-" &amp; P30</f>
        <v>FC009:007:10  # Year-2026</v>
      </c>
      <c r="P30" s="81">
        <v>2026</v>
      </c>
    </row>
    <row r="31" spans="1:16">
      <c r="A31" s="3" cm="1">
        <f t="array" ref="A31">INDEX(Calcs!$K:$K,_xlfn.XMATCH(DATE($P30,A$4,1),Calcs!$A:$A),)</f>
        <v>2.8849999999999998</v>
      </c>
      <c r="B31" s="3" cm="1">
        <f t="array" ref="B31">INDEX(Calcs!$K:$K,_xlfn.XMATCH(DATE($P30,B$4,1),Calcs!$A:$A),)</f>
        <v>2.8849999999999998</v>
      </c>
      <c r="C31" s="3" cm="1">
        <f t="array" ref="C31">INDEX(Calcs!$K:$K,_xlfn.XMATCH(DATE($P30,C$4,1),Calcs!$A:$A),)</f>
        <v>2.8849999999999998</v>
      </c>
      <c r="D31" s="3" cm="1">
        <f t="array" ref="D31">INDEX(Calcs!$K:$K,_xlfn.XMATCH(DATE($P30,D$4,1),Calcs!$A:$A),)</f>
        <v>2.8849999999999998</v>
      </c>
      <c r="E31" s="3" cm="1">
        <f t="array" ref="E31">INDEX(Calcs!$K:$K,_xlfn.XMATCH(DATE($P30,E$4,1),Calcs!$A:$A),)</f>
        <v>2.8849999999999998</v>
      </c>
      <c r="F31" s="3" cm="1">
        <f t="array" ref="F31">INDEX(Calcs!$K:$K,_xlfn.XMATCH(DATE($P30,F$4,1),Calcs!$A:$A),)</f>
        <v>2.8849999999999998</v>
      </c>
      <c r="G31" s="3" cm="1">
        <f t="array" ref="G31">INDEX(Calcs!$K:$K,_xlfn.XMATCH(DATE($P30,G$4,1),Calcs!$A:$A),)</f>
        <v>2.8849999999999998</v>
      </c>
      <c r="H31" s="3" cm="1">
        <f t="array" ref="H31">INDEX(Calcs!$K:$K,_xlfn.XMATCH(DATE($P30,H$4,1),Calcs!$A:$A),)</f>
        <v>2.8849999999999998</v>
      </c>
      <c r="I31" s="3" cm="1">
        <f t="array" ref="I31">INDEX(Calcs!$K:$K,_xlfn.XMATCH(DATE($P30,I$4,1),Calcs!$A:$A),)</f>
        <v>2.8849999999999998</v>
      </c>
      <c r="J31" s="3" cm="1">
        <f t="array" ref="J31">INDEX(Calcs!$K:$K,_xlfn.XMATCH(DATE($P30,J$4,1),Calcs!$A:$A),)</f>
        <v>2.8849999999999998</v>
      </c>
      <c r="K31" s="3" cm="1">
        <f t="array" ref="K31">INDEX(Calcs!$K:$K,_xlfn.XMATCH(DATE($P30,K$4,1),Calcs!$A:$A),)</f>
        <v>2.8849999999999998</v>
      </c>
      <c r="L31" s="3" cm="1">
        <f t="array" ref="L31">INDEX(Calcs!$K:$K,_xlfn.XMATCH(DATE($P30,L$4,1),Calcs!$A:$A),)</f>
        <v>2.8849999999999998</v>
      </c>
      <c r="N31" s="17" t="str">
        <f t="shared" ref="N31" si="1">ROUND(A31,5)&amp;",  "&amp;ROUND(B31,5)&amp;",  "&amp;ROUND(C31,5)&amp;",  "&amp;ROUND(D31,5)&amp;",  "&amp;ROUND(E31,5)&amp;",  "&amp;ROUND(F31,5)&amp;",  "&amp;ROUND(G31,5)&amp;",  "&amp;ROUND(H31,5)&amp;",  "&amp;ROUND(I31,5)&amp;",  "&amp;ROUND(J31,5)&amp;",  "&amp;ROUND(K31,5)&amp;",  "&amp;ROUND(L31,5)</f>
        <v>2.885,  2.885,  2.885,  2.885,  2.885,  2.885,  2.885,  2.885,  2.885,  2.885,  2.885,  2.885</v>
      </c>
    </row>
  </sheetData>
  <pageMargins left="0.7" right="0.7" top="0.75" bottom="0.75" header="0.3" footer="0.3"/>
  <pageSetup orientation="portrait" r:id="rId1"/>
  <headerFooter>
    <oddFooter>&amp;L&amp;1#&amp;"Calibri"&amp;10&amp;K000000Confidential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671D300D7BB8745BD7C54A69A200A79" ma:contentTypeVersion="14" ma:contentTypeDescription="Create a new document." ma:contentTypeScope="" ma:versionID="5bd604899e9d7f6454a9786f601c6e01">
  <xsd:schema xmlns:xsd="http://www.w3.org/2001/XMLSchema" xmlns:xs="http://www.w3.org/2001/XMLSchema" xmlns:p="http://schemas.microsoft.com/office/2006/metadata/properties" xmlns:ns2="5a41222b-c560-493b-b989-61f47c4f5672" xmlns:ns3="91f7a29f-db89-414d-9bb5-fef9a0b838ee" targetNamespace="http://schemas.microsoft.com/office/2006/metadata/properties" ma:root="true" ma:fieldsID="0b07c6309a3f58306add68238c22554b" ns2:_="" ns3:_="">
    <xsd:import namespace="5a41222b-c560-493b-b989-61f47c4f5672"/>
    <xsd:import namespace="91f7a29f-db89-414d-9bb5-fef9a0b838e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41222b-c560-493b-b989-61f47c4f567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0199476f-0c45-4900-abdd-50c44ed98f3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f7a29f-db89-414d-9bb5-fef9a0b838ee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facca03a-4ef8-4e33-9052-06714a5cbc5a}" ma:internalName="TaxCatchAll" ma:showField="CatchAllData" ma:web="91f7a29f-db89-414d-9bb5-fef9a0b838e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1f7a29f-db89-414d-9bb5-fef9a0b838ee" xsi:nil="true"/>
    <lcf76f155ced4ddcb4097134ff3c332f xmlns="5a41222b-c560-493b-b989-61f47c4f567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7F0380A-8F13-42B8-AF3C-09CC5F6E604B}"/>
</file>

<file path=customXml/itemProps2.xml><?xml version="1.0" encoding="utf-8"?>
<ds:datastoreItem xmlns:ds="http://schemas.openxmlformats.org/officeDocument/2006/customXml" ds:itemID="{44C04F28-2ADE-48BC-9E47-BBB0722924A9}"/>
</file>

<file path=customXml/itemProps3.xml><?xml version="1.0" encoding="utf-8"?>
<ds:datastoreItem xmlns:ds="http://schemas.openxmlformats.org/officeDocument/2006/customXml" ds:itemID="{D4F0A57F-7B25-47B7-AF7F-E5A873D5654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Pinnacle West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Schmidt, Marcus G</dc:creator>
  <cp:keywords/>
  <dc:description/>
  <cp:lastModifiedBy>Zack Pecenak</cp:lastModifiedBy>
  <cp:revision/>
  <dcterms:created xsi:type="dcterms:W3CDTF">2018-07-26T22:40:05Z</dcterms:created>
  <dcterms:modified xsi:type="dcterms:W3CDTF">2026-08-27T00:09:38Z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{335D88B3-E38E-4B8F-B92E-F4CCC1D4A736}</vt:lpwstr>
  </property>
  <property fmtid="{D5CDD505-2E9C-101B-9397-08002B2CF9AE}" pid="3" name="MSIP_Label_e6746b5e-3606-4428-bd13-8763a5a74843_Enabled">
    <vt:lpwstr>true</vt:lpwstr>
  </property>
  <property fmtid="{D5CDD505-2E9C-101B-9397-08002B2CF9AE}" pid="4" name="MSIP_Label_e6746b5e-3606-4428-bd13-8763a5a74843_SetDate">
    <vt:lpwstr>2023-05-02T18:49:17Z</vt:lpwstr>
  </property>
  <property fmtid="{D5CDD505-2E9C-101B-9397-08002B2CF9AE}" pid="5" name="MSIP_Label_e6746b5e-3606-4428-bd13-8763a5a74843_Method">
    <vt:lpwstr>Privileged</vt:lpwstr>
  </property>
  <property fmtid="{D5CDD505-2E9C-101B-9397-08002B2CF9AE}" pid="6" name="MSIP_Label_e6746b5e-3606-4428-bd13-8763a5a74843_Name">
    <vt:lpwstr>e6746b5e-3606-4428-bd13-8763a5a74843</vt:lpwstr>
  </property>
  <property fmtid="{D5CDD505-2E9C-101B-9397-08002B2CF9AE}" pid="7" name="MSIP_Label_e6746b5e-3606-4428-bd13-8763a5a74843_SiteId">
    <vt:lpwstr>842bd572-4cb5-46e6-bb61-467a52c991c5</vt:lpwstr>
  </property>
  <property fmtid="{D5CDD505-2E9C-101B-9397-08002B2CF9AE}" pid="8" name="MSIP_Label_e6746b5e-3606-4428-bd13-8763a5a74843_ActionId">
    <vt:lpwstr>4eb7da52-c738-46a7-8bd4-1095668d2533</vt:lpwstr>
  </property>
  <property fmtid="{D5CDD505-2E9C-101B-9397-08002B2CF9AE}" pid="9" name="MSIP_Label_e6746b5e-3606-4428-bd13-8763a5a74843_ContentBits">
    <vt:lpwstr>2</vt:lpwstr>
  </property>
  <property fmtid="{D5CDD505-2E9C-101B-9397-08002B2CF9AE}" pid="10" name="ContentTypeId">
    <vt:lpwstr>0x010100E671D300D7BB8745BD7C54A69A200A79</vt:lpwstr>
  </property>
  <property fmtid="{D5CDD505-2E9C-101B-9397-08002B2CF9AE}" pid="11" name="MediaServiceImageTags">
    <vt:lpwstr/>
  </property>
</Properties>
</file>