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30131" codeName="{26A90621-87C4-6C01-FD6A-EE6E7C14090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to\PlexosReorting\"/>
    </mc:Choice>
  </mc:AlternateContent>
  <xr:revisionPtr revIDLastSave="0" documentId="13_ncr:1_{C0B41FBE-258B-4E6A-9051-5B00263851E6}" xr6:coauthVersionLast="47" xr6:coauthVersionMax="47" xr10:uidLastSave="{00000000-0000-0000-0000-000000000000}"/>
  <bookViews>
    <workbookView xWindow="-108" yWindow="-108" windowWidth="23256" windowHeight="13896" activeTab="1" xr2:uid="{00000000-000D-0000-FFFF-FFFF00000000}"/>
  </bookViews>
  <sheets>
    <sheet name="Summary" sheetId="1" r:id="rId1"/>
    <sheet name="Blueprint_std" sheetId="2" r:id="rId2"/>
    <sheet name="Blueprint_rat" sheetId="5" r:id="rId3"/>
    <sheet name="Groups" sheetId="3" r:id="rId4"/>
    <sheet name="UnitConversion" sheetId="4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7" i="4" l="1"/>
</calcChain>
</file>

<file path=xl/sharedStrings.xml><?xml version="1.0" encoding="utf-8"?>
<sst xmlns="http://schemas.openxmlformats.org/spreadsheetml/2006/main" count="433" uniqueCount="135">
  <si>
    <t>Parameter</t>
  </si>
  <si>
    <t>Value</t>
  </si>
  <si>
    <t>InputPath</t>
  </si>
  <si>
    <t>OutputPath</t>
  </si>
  <si>
    <t>Header</t>
  </si>
  <si>
    <t>Class</t>
  </si>
  <si>
    <t>Group</t>
  </si>
  <si>
    <t>Property</t>
  </si>
  <si>
    <t>Pattern</t>
  </si>
  <si>
    <t>Rate</t>
  </si>
  <si>
    <t>Assets</t>
  </si>
  <si>
    <t>UnitFrom</t>
  </si>
  <si>
    <t>UnitTo</t>
  </si>
  <si>
    <t>ConversionRate</t>
  </si>
  <si>
    <t>CLI_Path</t>
  </si>
  <si>
    <t>Overwrite</t>
  </si>
  <si>
    <t>PythonPath</t>
  </si>
  <si>
    <t>ScriptPath</t>
  </si>
  <si>
    <t>( 1 ) System Summary</t>
  </si>
  <si>
    <t>Generator</t>
  </si>
  <si>
    <t>Thermal</t>
  </si>
  <si>
    <t>Generation</t>
  </si>
  <si>
    <t>monthly-summary</t>
  </si>
  <si>
    <t>Storage</t>
  </si>
  <si>
    <t>all</t>
  </si>
  <si>
    <t>Generator Release</t>
  </si>
  <si>
    <t>Battery</t>
  </si>
  <si>
    <t>Renewable</t>
  </si>
  <si>
    <t>Zone</t>
  </si>
  <si>
    <t>Shortage</t>
  </si>
  <si>
    <t>Native Load</t>
  </si>
  <si>
    <t>Load</t>
  </si>
  <si>
    <t>Inflow</t>
  </si>
  <si>
    <t>Dump Energy</t>
  </si>
  <si>
    <t>FO&amp;M Cost</t>
  </si>
  <si>
    <t>VO&amp;M Cost</t>
  </si>
  <si>
    <t>Total System Cost</t>
  </si>
  <si>
    <t>Fixed Cost</t>
  </si>
  <si>
    <t>Cost of Dump Energy</t>
  </si>
  <si>
    <t>Reserve</t>
  </si>
  <si>
    <t>Shortage Cost</t>
  </si>
  <si>
    <t>( 29 ) Shortfall and Spin violations</t>
  </si>
  <si>
    <t>Shortage Hours</t>
  </si>
  <si>
    <t>( 33c ) Hydro/Batt Discharge: Battery (MWH)</t>
  </si>
  <si>
    <t>monthly</t>
  </si>
  <si>
    <t>btu/kwh</t>
  </si>
  <si>
    <t>mbtu/mwh</t>
  </si>
  <si>
    <t>gbtu/mwh</t>
  </si>
  <si>
    <t>mw</t>
  </si>
  <si>
    <t>mwh</t>
  </si>
  <si>
    <t>$</t>
  </si>
  <si>
    <t>m$</t>
  </si>
  <si>
    <t>kw</t>
  </si>
  <si>
    <t>kwh</t>
  </si>
  <si>
    <t>gwh</t>
  </si>
  <si>
    <t>bbtu</t>
  </si>
  <si>
    <t>mbtu</t>
  </si>
  <si>
    <t>mmbtu</t>
  </si>
  <si>
    <t>-</t>
  </si>
  <si>
    <t>~</t>
  </si>
  <si>
    <t>h</t>
  </si>
  <si>
    <t>hours</t>
  </si>
  <si>
    <t>lb</t>
  </si>
  <si>
    <t>lbs</t>
  </si>
  <si>
    <t>ton</t>
  </si>
  <si>
    <t>CC, CT, ST_Coal, Oil, UR</t>
  </si>
  <si>
    <t>CombCyc</t>
  </si>
  <si>
    <t>CC</t>
  </si>
  <si>
    <t>wind, pv_sun</t>
  </si>
  <si>
    <t>Market</t>
  </si>
  <si>
    <t>( 2 ) Thermal Unit Generation (MWH)</t>
  </si>
  <si>
    <t>( 3 ) Thermal Unit Fuel Use (MBTU)</t>
  </si>
  <si>
    <t>Fuel Offtake</t>
  </si>
  <si>
    <t>( 4 ) Thermal Unit Average Heatrate (MBTU/MWH)</t>
  </si>
  <si>
    <t>Heat Rate</t>
  </si>
  <si>
    <t>( 5 ) Thermal Unit Total Cost ($)</t>
  </si>
  <si>
    <t>( 6 ) Thermal Unit Fuel Cost ($)</t>
  </si>
  <si>
    <t>Fuel Cost</t>
  </si>
  <si>
    <t>( 7 ) Thermal Unit Startup Cost ($)</t>
  </si>
  <si>
    <t>Start &amp; Shutdown Cost</t>
  </si>
  <si>
    <t>( 8 ) Thermal Unit Variable O&amp;M Cost ($)</t>
  </si>
  <si>
    <t>( 9 ) Thermal Unit Fixed O&amp;M Cost ($)</t>
  </si>
  <si>
    <t>( 10 ) Thermal Unit Starts (-)</t>
  </si>
  <si>
    <t>Units Started</t>
  </si>
  <si>
    <t>( 11 ) Thermal Unit Hours Online (Hours)</t>
  </si>
  <si>
    <t>Operating Hours</t>
  </si>
  <si>
    <t>( 14 ) Thermal Unit Effluents lbs (lbs)</t>
  </si>
  <si>
    <t>Emission</t>
  </si>
  <si>
    <t>Generation Production</t>
  </si>
  <si>
    <t>( 21 ) Transaction Amount (MWH)</t>
  </si>
  <si>
    <t>( 22 ) Transaction Revenues ($)</t>
  </si>
  <si>
    <t>( 23 ) Contract Fuel Use (1000·MMBTU)</t>
  </si>
  <si>
    <t>Fuel</t>
  </si>
  <si>
    <t>Offtake</t>
  </si>
  <si>
    <t>( 26 ) Contract Cost ($)</t>
  </si>
  <si>
    <t>Cost</t>
  </si>
  <si>
    <t>( 27 ) Contract Daily Use (tons)</t>
  </si>
  <si>
    <t>daily</t>
  </si>
  <si>
    <t>( 28 ) Contract Daily Cost ($)</t>
  </si>
  <si>
    <t>( 30 ) Dump Energy and Hours</t>
  </si>
  <si>
    <t>Dump Energy Hours</t>
  </si>
  <si>
    <t>( 31 ) System Native Load</t>
  </si>
  <si>
    <t>( 32 ) Total Effluents by Type lbs</t>
  </si>
  <si>
    <t>( 34c ) Hydro/Batt Charge: Battery (MWH)</t>
  </si>
  <si>
    <t>( 37c ) Hydro/Batt Net Cost: Battery ($)</t>
  </si>
  <si>
    <t>UoS Cost</t>
  </si>
  <si>
    <t xml:space="preserve">( 38c ) Hydro/Batt Oper Profit: Battery ($) </t>
  </si>
  <si>
    <t>Net Profit</t>
  </si>
  <si>
    <t xml:space="preserve">( 56a ) Wind/Solar Generation: Wind (MWH) </t>
  </si>
  <si>
    <t xml:space="preserve">( 57a ) Wind/Solar Total Cost: Wind ($) </t>
  </si>
  <si>
    <t>( 72 ) Thermal Unit Capacity Factor (-)</t>
  </si>
  <si>
    <t>Capacity Factor</t>
  </si>
  <si>
    <t>( 73 ) Thermal Unit Effluents $</t>
  </si>
  <si>
    <t>( 80 ) Thermal Comb Cycle CT Starts (-)</t>
  </si>
  <si>
    <t>( 87 ) Comb Cycle Mode Hours Online (Hours)</t>
  </si>
  <si>
    <t>(100a) Wind/Solar Capacity Factor: Wind (-)</t>
  </si>
  <si>
    <t>(102) Supplemental Dump Value ($)</t>
  </si>
  <si>
    <t>%</t>
  </si>
  <si>
    <t>Start Fuel Offtake</t>
  </si>
  <si>
    <t>( 3a ) Thermal Unit Fuel Use (MBTU) - Starting</t>
  </si>
  <si>
    <t>C:\Users\cto\Downloads\Model TA_Base2_ST Solution.zip</t>
  </si>
  <si>
    <t>C:\Users\cto\miniconda3\envs\py312\python.exe</t>
  </si>
  <si>
    <t>C:\Users\cto\AppData\Local\Programs\PLEXOS.Cloud\plexos-cloud.exe</t>
  </si>
  <si>
    <t>C:\Users\cto\Downloads\PlexosOutputs</t>
  </si>
  <si>
    <t>C:\Users\cto\PlexosReorting\src\create_reports.py</t>
  </si>
  <si>
    <t xml:space="preserve"> </t>
  </si>
  <si>
    <t>Alias</t>
  </si>
  <si>
    <t>MW</t>
  </si>
  <si>
    <t>MBTU</t>
  </si>
  <si>
    <t>Unit</t>
  </si>
  <si>
    <t>MBTU/MWH</t>
  </si>
  <si>
    <t>Hours</t>
  </si>
  <si>
    <t>MWH</t>
  </si>
  <si>
    <t>1000·MMBTU</t>
  </si>
  <si>
    <t>tons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</si>
</sst>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6" formatCode="&quot;$&quot;#,##0_);[Red]\(&quot;$&quot;#,##0\)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1" xfId="0" applyFont="1" applyBorder="1" applyAlignment="1">
      <alignment horizontal="center" vertical="top"/>
    </xf>
    <xf numFmtId="6" fontId="0" fillId="0" borderId="0" xfId="0" applyNumberFormat="1"/>
    <xf numFmtId="0" fontId="1" fillId="0" borderId="2" xfId="0" applyFont="1" applyFill="1" applyBorder="1" applyAlignment="1">
      <alignment horizontal="center" vertical="top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213360</xdr:colOff>
          <xdr:row>8</xdr:row>
          <xdr:rowOff>7620</xdr:rowOff>
        </xdr:from>
        <xdr:to>
          <xdr:col>2</xdr:col>
          <xdr:colOff>152400</xdr:colOff>
          <xdr:row>11</xdr:row>
          <xdr:rowOff>175260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Reports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23"/>
  <sheetViews>
    <sheetView tabSelected="1" workbookViewId="0">
      <selection activeCell="B45" sqref="B45"/>
    </sheetView>
  </sheetViews>
  <sheetFormatPr defaultRowHeight="14.4" x14ac:dyDescent="0.3"/>
  <cols>
    <col min="1" max="1" width="23.44140625" customWidth="1"/>
  </cols>
  <sheetData>
    <row r="1" spans="1:2" x14ac:dyDescent="0.3">
      <c r="A1" s="1" t="s">
        <v>0</v>
      </c>
      <c r="B1" s="1" t="s">
        <v>1</v>
      </c>
    </row>
    <row r="2" spans="1:2" x14ac:dyDescent="0.3">
      <c r="A2" t="s">
        <v>2</v>
      </c>
      <c r="B2" t="s">
        <v>120</v>
      </c>
    </row>
    <row r="3" spans="1:2" x14ac:dyDescent="0.3">
      <c r="A3" t="s">
        <v>16</v>
      </c>
      <c r="B3" t="s">
        <v>121</v>
      </c>
    </row>
    <row r="4" spans="1:2" x14ac:dyDescent="0.3">
      <c r="A4" t="s">
        <v>17</v>
      </c>
      <c r="B4" t="s">
        <v>124</v>
      </c>
    </row>
    <row r="5" spans="1:2" x14ac:dyDescent="0.3">
      <c r="A5" t="s">
        <v>14</v>
      </c>
      <c r="B5" t="s">
        <v>122</v>
      </c>
    </row>
    <row r="6" spans="1:2" x14ac:dyDescent="0.3">
      <c r="A6" t="s">
        <v>3</v>
      </c>
      <c r="B6" t="s">
        <v>123</v>
      </c>
    </row>
    <row r="7" spans="1:2" x14ac:dyDescent="0.3">
      <c r="A7" t="s">
        <v>15</v>
      </c>
      <c r="B7" t="b">
        <v>0</v>
      </c>
    </row>
    <row r="23" spans="13:13" x14ac:dyDescent="0.3">
      <c r="M23" t="s">
        <v>125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RunPythonReport">
                <anchor moveWithCells="1" sizeWithCells="1">
                  <from>
                    <xdr:col>0</xdr:col>
                    <xdr:colOff>213360</xdr:colOff>
                    <xdr:row>8</xdr:row>
                    <xdr:rowOff>7620</xdr:rowOff>
                  </from>
                  <to>
                    <xdr:col>2</xdr:col>
                    <xdr:colOff>152400</xdr:colOff>
                    <xdr:row>11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59"/>
  <sheetViews>
    <sheetView tabSelected="1" topLeftCell="A20" workbookViewId="0">
      <selection activeCell="B45" sqref="B45"/>
    </sheetView>
  </sheetViews>
  <sheetFormatPr defaultRowHeight="14.4" x14ac:dyDescent="0.3"/>
  <cols>
    <col min="1" max="1" width="29.109375" customWidth="1"/>
    <col min="2" max="2" width="16" customWidth="1"/>
    <col min="4" max="4" width="25.109375" customWidth="1"/>
  </cols>
  <sheetData>
    <row r="1" spans="1:7" x14ac:dyDescent="0.3">
      <c r="A1" s="1" t="s">
        <v>4</v>
      </c>
      <c r="B1" s="1" t="s">
        <v>5</v>
      </c>
      <c r="C1" s="1" t="s">
        <v>6</v>
      </c>
      <c r="D1" s="1" t="s">
        <v>7</v>
      </c>
      <c r="E1" s="1" t="s">
        <v>8</v>
      </c>
      <c r="F1" s="1" t="s">
        <v>9</v>
      </c>
      <c r="G1" s="3" t="s">
        <v>129</v>
      </c>
    </row>
    <row r="2" spans="1:7" x14ac:dyDescent="0.3">
      <c r="A2" t="s">
        <v>18</v>
      </c>
      <c r="B2" t="s">
        <v>19</v>
      </c>
      <c r="C2" t="s">
        <v>20</v>
      </c>
      <c r="D2" t="s">
        <v>21</v>
      </c>
      <c r="E2" t="s">
        <v>22</v>
      </c>
      <c r="F2" t="b">
        <v>0</v>
      </c>
      <c r="G2" t="s">
        <v>127</v>
      </c>
    </row>
    <row r="3" spans="1:7" x14ac:dyDescent="0.3">
      <c r="A3" t="s">
        <v>18</v>
      </c>
      <c r="B3" t="s">
        <v>23</v>
      </c>
      <c r="C3" t="s">
        <v>24</v>
      </c>
      <c r="D3" t="s">
        <v>25</v>
      </c>
      <c r="E3" t="s">
        <v>22</v>
      </c>
      <c r="F3" t="b">
        <v>0</v>
      </c>
      <c r="G3" t="s">
        <v>127</v>
      </c>
    </row>
    <row r="4" spans="1:7" x14ac:dyDescent="0.3">
      <c r="A4" t="s">
        <v>18</v>
      </c>
      <c r="B4" t="s">
        <v>26</v>
      </c>
      <c r="C4" t="s">
        <v>24</v>
      </c>
      <c r="D4" t="s">
        <v>21</v>
      </c>
      <c r="E4" t="s">
        <v>22</v>
      </c>
      <c r="F4" t="b">
        <v>0</v>
      </c>
      <c r="G4" t="s">
        <v>127</v>
      </c>
    </row>
    <row r="5" spans="1:7" x14ac:dyDescent="0.3">
      <c r="A5" t="s">
        <v>18</v>
      </c>
      <c r="B5" t="s">
        <v>19</v>
      </c>
      <c r="C5" t="s">
        <v>27</v>
      </c>
      <c r="D5" t="s">
        <v>21</v>
      </c>
      <c r="E5" t="s">
        <v>22</v>
      </c>
      <c r="F5" t="b">
        <v>0</v>
      </c>
      <c r="G5" t="s">
        <v>127</v>
      </c>
    </row>
    <row r="6" spans="1:7" x14ac:dyDescent="0.3">
      <c r="A6" t="s">
        <v>18</v>
      </c>
      <c r="B6" t="s">
        <v>39</v>
      </c>
      <c r="C6" t="s">
        <v>24</v>
      </c>
      <c r="D6" t="s">
        <v>29</v>
      </c>
      <c r="E6" t="s">
        <v>22</v>
      </c>
      <c r="F6" t="b">
        <v>0</v>
      </c>
      <c r="G6" t="s">
        <v>127</v>
      </c>
    </row>
    <row r="7" spans="1:7" x14ac:dyDescent="0.3">
      <c r="A7" t="s">
        <v>18</v>
      </c>
      <c r="B7" t="s">
        <v>28</v>
      </c>
      <c r="C7" t="s">
        <v>24</v>
      </c>
      <c r="D7" t="s">
        <v>30</v>
      </c>
      <c r="E7" t="s">
        <v>22</v>
      </c>
      <c r="F7" t="b">
        <v>0</v>
      </c>
      <c r="G7" t="s">
        <v>127</v>
      </c>
    </row>
    <row r="8" spans="1:7" x14ac:dyDescent="0.3">
      <c r="A8" t="s">
        <v>18</v>
      </c>
      <c r="B8" t="s">
        <v>28</v>
      </c>
      <c r="C8" t="s">
        <v>24</v>
      </c>
      <c r="D8" t="s">
        <v>31</v>
      </c>
      <c r="E8" t="s">
        <v>22</v>
      </c>
      <c r="F8" t="b">
        <v>0</v>
      </c>
    </row>
    <row r="9" spans="1:7" x14ac:dyDescent="0.3">
      <c r="A9" t="s">
        <v>18</v>
      </c>
      <c r="B9" t="s">
        <v>23</v>
      </c>
      <c r="C9" t="s">
        <v>24</v>
      </c>
      <c r="D9" t="s">
        <v>32</v>
      </c>
      <c r="E9" t="s">
        <v>22</v>
      </c>
      <c r="F9" t="b">
        <v>0</v>
      </c>
    </row>
    <row r="10" spans="1:7" x14ac:dyDescent="0.3">
      <c r="A10" t="s">
        <v>18</v>
      </c>
      <c r="B10" t="s">
        <v>26</v>
      </c>
      <c r="C10" t="s">
        <v>24</v>
      </c>
      <c r="D10" t="s">
        <v>31</v>
      </c>
      <c r="E10" t="s">
        <v>22</v>
      </c>
      <c r="F10" t="b">
        <v>0</v>
      </c>
    </row>
    <row r="11" spans="1:7" x14ac:dyDescent="0.3">
      <c r="A11" t="s">
        <v>18</v>
      </c>
      <c r="B11" t="s">
        <v>28</v>
      </c>
      <c r="C11" t="s">
        <v>24</v>
      </c>
      <c r="D11" t="s">
        <v>33</v>
      </c>
      <c r="E11" t="s">
        <v>22</v>
      </c>
      <c r="F11" t="b">
        <v>0</v>
      </c>
    </row>
    <row r="12" spans="1:7" x14ac:dyDescent="0.3">
      <c r="A12" t="s">
        <v>18</v>
      </c>
      <c r="B12" t="s">
        <v>19</v>
      </c>
      <c r="C12" t="s">
        <v>20</v>
      </c>
      <c r="D12" t="s">
        <v>34</v>
      </c>
      <c r="E12" t="s">
        <v>22</v>
      </c>
      <c r="F12" t="b">
        <v>0</v>
      </c>
    </row>
    <row r="13" spans="1:7" x14ac:dyDescent="0.3">
      <c r="A13" t="s">
        <v>18</v>
      </c>
      <c r="B13" t="s">
        <v>19</v>
      </c>
      <c r="C13" t="s">
        <v>20</v>
      </c>
      <c r="D13" t="s">
        <v>35</v>
      </c>
      <c r="E13" t="s">
        <v>22</v>
      </c>
      <c r="F13" t="b">
        <v>0</v>
      </c>
    </row>
    <row r="14" spans="1:7" x14ac:dyDescent="0.3">
      <c r="A14" t="s">
        <v>18</v>
      </c>
      <c r="B14" t="s">
        <v>19</v>
      </c>
      <c r="C14" t="s">
        <v>20</v>
      </c>
      <c r="D14" t="s">
        <v>36</v>
      </c>
      <c r="E14" t="s">
        <v>22</v>
      </c>
      <c r="F14" t="b">
        <v>0</v>
      </c>
    </row>
    <row r="15" spans="1:7" x14ac:dyDescent="0.3">
      <c r="A15" t="s">
        <v>18</v>
      </c>
      <c r="B15" t="s">
        <v>23</v>
      </c>
      <c r="C15" t="s">
        <v>24</v>
      </c>
      <c r="D15" t="s">
        <v>37</v>
      </c>
      <c r="E15" t="s">
        <v>22</v>
      </c>
      <c r="F15" t="b">
        <v>0</v>
      </c>
    </row>
    <row r="16" spans="1:7" x14ac:dyDescent="0.3">
      <c r="A16" t="s">
        <v>18</v>
      </c>
      <c r="B16" t="s">
        <v>23</v>
      </c>
      <c r="C16" t="s">
        <v>24</v>
      </c>
      <c r="D16" t="s">
        <v>35</v>
      </c>
      <c r="E16" t="s">
        <v>22</v>
      </c>
      <c r="F16" t="b">
        <v>0</v>
      </c>
    </row>
    <row r="17" spans="1:7" x14ac:dyDescent="0.3">
      <c r="A17" t="s">
        <v>18</v>
      </c>
      <c r="B17" t="s">
        <v>19</v>
      </c>
      <c r="C17" t="s">
        <v>27</v>
      </c>
      <c r="D17" t="s">
        <v>36</v>
      </c>
      <c r="E17" t="s">
        <v>22</v>
      </c>
      <c r="F17" t="b">
        <v>0</v>
      </c>
    </row>
    <row r="18" spans="1:7" x14ac:dyDescent="0.3">
      <c r="A18" t="s">
        <v>18</v>
      </c>
      <c r="B18" t="s">
        <v>28</v>
      </c>
      <c r="C18" t="s">
        <v>24</v>
      </c>
      <c r="D18" t="s">
        <v>38</v>
      </c>
      <c r="E18" t="s">
        <v>22</v>
      </c>
      <c r="F18" t="b">
        <v>0</v>
      </c>
    </row>
    <row r="19" spans="1:7" x14ac:dyDescent="0.3">
      <c r="A19" t="s">
        <v>18</v>
      </c>
      <c r="B19" t="s">
        <v>39</v>
      </c>
      <c r="C19" t="s">
        <v>24</v>
      </c>
      <c r="D19" t="s">
        <v>40</v>
      </c>
      <c r="E19" t="s">
        <v>22</v>
      </c>
      <c r="F19" t="b">
        <v>0</v>
      </c>
    </row>
    <row r="20" spans="1:7" x14ac:dyDescent="0.3">
      <c r="A20" t="s">
        <v>70</v>
      </c>
      <c r="B20" t="s">
        <v>19</v>
      </c>
      <c r="C20" t="s">
        <v>20</v>
      </c>
      <c r="D20" t="s">
        <v>21</v>
      </c>
      <c r="E20" t="s">
        <v>44</v>
      </c>
      <c r="F20" t="b">
        <v>0</v>
      </c>
      <c r="G20" t="s">
        <v>132</v>
      </c>
    </row>
    <row r="21" spans="1:7" x14ac:dyDescent="0.3">
      <c r="A21" t="s">
        <v>119</v>
      </c>
      <c r="B21" t="s">
        <v>19</v>
      </c>
      <c r="C21" t="s">
        <v>20</v>
      </c>
      <c r="D21" t="s">
        <v>118</v>
      </c>
      <c r="E21" t="s">
        <v>44</v>
      </c>
      <c r="F21" t="b">
        <v>0</v>
      </c>
      <c r="G21" t="s">
        <v>128</v>
      </c>
    </row>
    <row r="22" spans="1:7" x14ac:dyDescent="0.3">
      <c r="A22" t="s">
        <v>71</v>
      </c>
      <c r="B22" t="s">
        <v>19</v>
      </c>
      <c r="C22" t="s">
        <v>20</v>
      </c>
      <c r="D22" t="s">
        <v>72</v>
      </c>
      <c r="E22" t="s">
        <v>44</v>
      </c>
      <c r="F22" t="b">
        <v>0</v>
      </c>
      <c r="G22" t="s">
        <v>128</v>
      </c>
    </row>
    <row r="23" spans="1:7" x14ac:dyDescent="0.3">
      <c r="A23" t="s">
        <v>73</v>
      </c>
      <c r="B23" t="s">
        <v>19</v>
      </c>
      <c r="C23" t="s">
        <v>20</v>
      </c>
      <c r="D23" t="s">
        <v>74</v>
      </c>
      <c r="E23" t="s">
        <v>44</v>
      </c>
      <c r="F23" t="b">
        <v>1</v>
      </c>
      <c r="G23" t="s">
        <v>130</v>
      </c>
    </row>
    <row r="24" spans="1:7" x14ac:dyDescent="0.3">
      <c r="A24" t="s">
        <v>75</v>
      </c>
      <c r="B24" t="s">
        <v>19</v>
      </c>
      <c r="C24" t="s">
        <v>20</v>
      </c>
      <c r="D24" t="s">
        <v>36</v>
      </c>
      <c r="E24" t="s">
        <v>44</v>
      </c>
      <c r="F24" t="b">
        <v>0</v>
      </c>
      <c r="G24" t="s">
        <v>50</v>
      </c>
    </row>
    <row r="25" spans="1:7" x14ac:dyDescent="0.3">
      <c r="A25" t="s">
        <v>76</v>
      </c>
      <c r="B25" t="s">
        <v>19</v>
      </c>
      <c r="C25" t="s">
        <v>20</v>
      </c>
      <c r="D25" t="s">
        <v>77</v>
      </c>
      <c r="E25" t="s">
        <v>44</v>
      </c>
      <c r="F25" t="b">
        <v>0</v>
      </c>
      <c r="G25" t="s">
        <v>50</v>
      </c>
    </row>
    <row r="26" spans="1:7" x14ac:dyDescent="0.3">
      <c r="A26" t="s">
        <v>78</v>
      </c>
      <c r="B26" t="s">
        <v>19</v>
      </c>
      <c r="C26" t="s">
        <v>20</v>
      </c>
      <c r="D26" t="s">
        <v>79</v>
      </c>
      <c r="E26" t="s">
        <v>44</v>
      </c>
      <c r="F26" t="b">
        <v>0</v>
      </c>
      <c r="G26" t="s">
        <v>50</v>
      </c>
    </row>
    <row r="27" spans="1:7" x14ac:dyDescent="0.3">
      <c r="A27" t="s">
        <v>80</v>
      </c>
      <c r="B27" t="s">
        <v>19</v>
      </c>
      <c r="C27" t="s">
        <v>20</v>
      </c>
      <c r="D27" t="s">
        <v>35</v>
      </c>
      <c r="E27" t="s">
        <v>44</v>
      </c>
      <c r="F27" t="b">
        <v>0</v>
      </c>
      <c r="G27" t="s">
        <v>50</v>
      </c>
    </row>
    <row r="28" spans="1:7" x14ac:dyDescent="0.3">
      <c r="A28" t="s">
        <v>81</v>
      </c>
      <c r="B28" t="s">
        <v>19</v>
      </c>
      <c r="C28" t="s">
        <v>20</v>
      </c>
      <c r="D28" t="s">
        <v>34</v>
      </c>
      <c r="E28" t="s">
        <v>44</v>
      </c>
      <c r="F28" t="b">
        <v>0</v>
      </c>
      <c r="G28" t="s">
        <v>50</v>
      </c>
    </row>
    <row r="29" spans="1:7" x14ac:dyDescent="0.3">
      <c r="A29" t="s">
        <v>82</v>
      </c>
      <c r="B29" t="s">
        <v>19</v>
      </c>
      <c r="C29" t="s">
        <v>20</v>
      </c>
      <c r="D29" t="s">
        <v>83</v>
      </c>
      <c r="E29" t="s">
        <v>44</v>
      </c>
      <c r="F29" t="b">
        <v>0</v>
      </c>
      <c r="G29" t="s">
        <v>58</v>
      </c>
    </row>
    <row r="30" spans="1:7" x14ac:dyDescent="0.3">
      <c r="A30" t="s">
        <v>84</v>
      </c>
      <c r="B30" t="s">
        <v>19</v>
      </c>
      <c r="C30" t="s">
        <v>20</v>
      </c>
      <c r="D30" t="s">
        <v>85</v>
      </c>
      <c r="E30" t="s">
        <v>44</v>
      </c>
      <c r="F30" t="b">
        <v>0</v>
      </c>
      <c r="G30" t="s">
        <v>131</v>
      </c>
    </row>
    <row r="31" spans="1:7" x14ac:dyDescent="0.3">
      <c r="A31" t="s">
        <v>86</v>
      </c>
      <c r="B31" t="s">
        <v>87</v>
      </c>
      <c r="C31" t="s">
        <v>24</v>
      </c>
      <c r="D31" t="s">
        <v>88</v>
      </c>
      <c r="E31" t="s">
        <v>44</v>
      </c>
      <c r="F31" t="b">
        <v>0</v>
      </c>
      <c r="G31" t="s">
        <v>63</v>
      </c>
    </row>
    <row r="32" spans="1:7" x14ac:dyDescent="0.3">
      <c r="A32" t="s">
        <v>89</v>
      </c>
      <c r="B32" t="s">
        <v>19</v>
      </c>
      <c r="C32" t="s">
        <v>69</v>
      </c>
      <c r="D32" t="s">
        <v>21</v>
      </c>
      <c r="E32" t="s">
        <v>44</v>
      </c>
      <c r="F32" t="b">
        <v>0</v>
      </c>
      <c r="G32" t="s">
        <v>132</v>
      </c>
    </row>
    <row r="33" spans="1:7" x14ac:dyDescent="0.3">
      <c r="A33" t="s">
        <v>90</v>
      </c>
      <c r="B33" t="s">
        <v>19</v>
      </c>
      <c r="C33" t="s">
        <v>69</v>
      </c>
      <c r="D33" t="s">
        <v>36</v>
      </c>
      <c r="E33" t="s">
        <v>44</v>
      </c>
      <c r="F33" t="b">
        <v>0</v>
      </c>
      <c r="G33" t="s">
        <v>50</v>
      </c>
    </row>
    <row r="34" spans="1:7" x14ac:dyDescent="0.3">
      <c r="A34" t="s">
        <v>91</v>
      </c>
      <c r="B34" t="s">
        <v>92</v>
      </c>
      <c r="C34" t="s">
        <v>24</v>
      </c>
      <c r="D34" t="s">
        <v>93</v>
      </c>
      <c r="E34" t="s">
        <v>44</v>
      </c>
      <c r="F34" t="b">
        <v>0</v>
      </c>
      <c r="G34" t="s">
        <v>133</v>
      </c>
    </row>
    <row r="35" spans="1:7" x14ac:dyDescent="0.3">
      <c r="A35" t="s">
        <v>94</v>
      </c>
      <c r="B35" t="s">
        <v>92</v>
      </c>
      <c r="C35" t="s">
        <v>24</v>
      </c>
      <c r="D35" t="s">
        <v>95</v>
      </c>
      <c r="E35" t="s">
        <v>44</v>
      </c>
      <c r="F35" t="b">
        <v>0</v>
      </c>
      <c r="G35" t="s">
        <v>50</v>
      </c>
    </row>
    <row r="36" spans="1:7" x14ac:dyDescent="0.3">
      <c r="A36" t="s">
        <v>96</v>
      </c>
      <c r="B36" t="s">
        <v>92</v>
      </c>
      <c r="C36" t="s">
        <v>24</v>
      </c>
      <c r="D36" t="s">
        <v>93</v>
      </c>
      <c r="E36" t="s">
        <v>97</v>
      </c>
      <c r="F36" t="b">
        <v>0</v>
      </c>
      <c r="G36" t="s">
        <v>134</v>
      </c>
    </row>
    <row r="37" spans="1:7" x14ac:dyDescent="0.3">
      <c r="A37" t="s">
        <v>98</v>
      </c>
      <c r="B37" t="s">
        <v>92</v>
      </c>
      <c r="C37" t="s">
        <v>24</v>
      </c>
      <c r="D37" t="s">
        <v>95</v>
      </c>
      <c r="E37" t="s">
        <v>97</v>
      </c>
      <c r="F37" t="b">
        <v>0</v>
      </c>
      <c r="G37" t="s">
        <v>50</v>
      </c>
    </row>
    <row r="38" spans="1:7" x14ac:dyDescent="0.3">
      <c r="A38" t="s">
        <v>41</v>
      </c>
      <c r="B38" t="s">
        <v>39</v>
      </c>
      <c r="C38" t="s">
        <v>24</v>
      </c>
      <c r="D38" t="s">
        <v>29</v>
      </c>
      <c r="E38" t="s">
        <v>22</v>
      </c>
      <c r="F38" t="b">
        <v>0</v>
      </c>
    </row>
    <row r="39" spans="1:7" x14ac:dyDescent="0.3">
      <c r="A39" t="s">
        <v>41</v>
      </c>
      <c r="B39" t="s">
        <v>39</v>
      </c>
      <c r="C39" t="s">
        <v>24</v>
      </c>
      <c r="D39" t="s">
        <v>42</v>
      </c>
      <c r="E39" t="s">
        <v>22</v>
      </c>
      <c r="F39" t="b">
        <v>0</v>
      </c>
    </row>
    <row r="40" spans="1:7" x14ac:dyDescent="0.3">
      <c r="A40" t="s">
        <v>41</v>
      </c>
      <c r="B40" t="s">
        <v>39</v>
      </c>
      <c r="C40" t="s">
        <v>24</v>
      </c>
      <c r="D40" t="s">
        <v>40</v>
      </c>
      <c r="E40" t="s">
        <v>22</v>
      </c>
      <c r="F40" t="b">
        <v>0</v>
      </c>
    </row>
    <row r="41" spans="1:7" x14ac:dyDescent="0.3">
      <c r="A41" t="s">
        <v>99</v>
      </c>
      <c r="B41" t="s">
        <v>28</v>
      </c>
      <c r="C41" t="s">
        <v>24</v>
      </c>
      <c r="D41" t="s">
        <v>100</v>
      </c>
      <c r="E41" t="s">
        <v>22</v>
      </c>
      <c r="F41" t="b">
        <v>0</v>
      </c>
    </row>
    <row r="42" spans="1:7" x14ac:dyDescent="0.3">
      <c r="A42" t="s">
        <v>99</v>
      </c>
      <c r="B42" t="s">
        <v>28</v>
      </c>
      <c r="C42" t="s">
        <v>24</v>
      </c>
      <c r="D42" t="s">
        <v>33</v>
      </c>
      <c r="E42" t="s">
        <v>22</v>
      </c>
      <c r="F42" t="b">
        <v>0</v>
      </c>
    </row>
    <row r="43" spans="1:7" x14ac:dyDescent="0.3">
      <c r="A43" t="s">
        <v>101</v>
      </c>
      <c r="B43" t="s">
        <v>28</v>
      </c>
      <c r="C43" t="s">
        <v>24</v>
      </c>
      <c r="D43" t="s">
        <v>31</v>
      </c>
      <c r="E43" t="s">
        <v>22</v>
      </c>
      <c r="F43" t="b">
        <v>0</v>
      </c>
    </row>
    <row r="44" spans="1:7" x14ac:dyDescent="0.3">
      <c r="A44" t="s">
        <v>101</v>
      </c>
      <c r="B44" t="s">
        <v>28</v>
      </c>
      <c r="C44" t="s">
        <v>24</v>
      </c>
      <c r="D44" t="s">
        <v>30</v>
      </c>
      <c r="E44" t="s">
        <v>22</v>
      </c>
      <c r="F44" t="b">
        <v>0</v>
      </c>
    </row>
    <row r="45" spans="1:7" x14ac:dyDescent="0.3">
      <c r="A45" t="s">
        <v>102</v>
      </c>
      <c r="B45" t="s">
        <v>87</v>
      </c>
      <c r="C45" t="s">
        <v>24</v>
      </c>
      <c r="D45" t="s">
        <v>88</v>
      </c>
      <c r="E45" t="s">
        <v>22</v>
      </c>
      <c r="F45" t="b">
        <v>0</v>
      </c>
    </row>
    <row r="46" spans="1:7" x14ac:dyDescent="0.3">
      <c r="A46" t="s">
        <v>43</v>
      </c>
      <c r="B46" t="s">
        <v>23</v>
      </c>
      <c r="C46" t="s">
        <v>24</v>
      </c>
      <c r="D46" t="s">
        <v>25</v>
      </c>
      <c r="E46" t="s">
        <v>44</v>
      </c>
      <c r="F46" t="b">
        <v>0</v>
      </c>
      <c r="G46" t="s">
        <v>132</v>
      </c>
    </row>
    <row r="47" spans="1:7" x14ac:dyDescent="0.3">
      <c r="A47" t="s">
        <v>43</v>
      </c>
      <c r="B47" t="s">
        <v>26</v>
      </c>
      <c r="C47" t="s">
        <v>24</v>
      </c>
      <c r="D47" t="s">
        <v>21</v>
      </c>
      <c r="E47" t="s">
        <v>44</v>
      </c>
      <c r="F47" t="b">
        <v>0</v>
      </c>
      <c r="G47" t="s">
        <v>132</v>
      </c>
    </row>
    <row r="48" spans="1:7" x14ac:dyDescent="0.3">
      <c r="A48" t="s">
        <v>103</v>
      </c>
      <c r="B48" t="s">
        <v>26</v>
      </c>
      <c r="C48" t="s">
        <v>24</v>
      </c>
      <c r="D48" t="s">
        <v>31</v>
      </c>
      <c r="E48" t="s">
        <v>44</v>
      </c>
      <c r="F48" t="b">
        <v>0</v>
      </c>
      <c r="G48" t="s">
        <v>132</v>
      </c>
    </row>
    <row r="49" spans="1:7" x14ac:dyDescent="0.3">
      <c r="A49" t="s">
        <v>103</v>
      </c>
      <c r="B49" t="s">
        <v>23</v>
      </c>
      <c r="C49" t="s">
        <v>24</v>
      </c>
      <c r="D49" t="s">
        <v>32</v>
      </c>
      <c r="E49" t="s">
        <v>44</v>
      </c>
      <c r="F49" t="b">
        <v>0</v>
      </c>
      <c r="G49" t="s">
        <v>132</v>
      </c>
    </row>
    <row r="50" spans="1:7" x14ac:dyDescent="0.3">
      <c r="A50" t="s">
        <v>104</v>
      </c>
      <c r="B50" t="s">
        <v>26</v>
      </c>
      <c r="C50" t="s">
        <v>24</v>
      </c>
      <c r="D50" t="s">
        <v>105</v>
      </c>
      <c r="E50" t="s">
        <v>44</v>
      </c>
      <c r="F50" t="b">
        <v>0</v>
      </c>
      <c r="G50" t="s">
        <v>50</v>
      </c>
    </row>
    <row r="51" spans="1:7" x14ac:dyDescent="0.3">
      <c r="A51" t="s">
        <v>106</v>
      </c>
      <c r="B51" t="s">
        <v>26</v>
      </c>
      <c r="C51" t="s">
        <v>24</v>
      </c>
      <c r="D51" t="s">
        <v>107</v>
      </c>
      <c r="E51" t="s">
        <v>44</v>
      </c>
      <c r="F51" t="b">
        <v>0</v>
      </c>
      <c r="G51" t="s">
        <v>50</v>
      </c>
    </row>
    <row r="52" spans="1:7" x14ac:dyDescent="0.3">
      <c r="A52" t="s">
        <v>108</v>
      </c>
      <c r="B52" t="s">
        <v>19</v>
      </c>
      <c r="C52" t="s">
        <v>27</v>
      </c>
      <c r="D52" t="s">
        <v>21</v>
      </c>
      <c r="E52" t="s">
        <v>44</v>
      </c>
      <c r="F52" t="b">
        <v>0</v>
      </c>
      <c r="G52" t="s">
        <v>132</v>
      </c>
    </row>
    <row r="53" spans="1:7" x14ac:dyDescent="0.3">
      <c r="A53" t="s">
        <v>109</v>
      </c>
      <c r="B53" t="s">
        <v>19</v>
      </c>
      <c r="C53" t="s">
        <v>27</v>
      </c>
      <c r="D53" t="s">
        <v>36</v>
      </c>
      <c r="E53" t="s">
        <v>44</v>
      </c>
      <c r="F53" t="b">
        <v>0</v>
      </c>
      <c r="G53" t="s">
        <v>50</v>
      </c>
    </row>
    <row r="54" spans="1:7" x14ac:dyDescent="0.3">
      <c r="A54" t="s">
        <v>110</v>
      </c>
      <c r="B54" t="s">
        <v>19</v>
      </c>
      <c r="C54" t="s">
        <v>20</v>
      </c>
      <c r="D54" t="s">
        <v>111</v>
      </c>
      <c r="E54" t="s">
        <v>44</v>
      </c>
      <c r="F54" t="b">
        <v>1</v>
      </c>
      <c r="G54" t="s">
        <v>58</v>
      </c>
    </row>
    <row r="55" spans="1:7" x14ac:dyDescent="0.3">
      <c r="A55" t="s">
        <v>112</v>
      </c>
      <c r="B55" t="s">
        <v>87</v>
      </c>
      <c r="C55" t="s">
        <v>24</v>
      </c>
      <c r="D55" t="s">
        <v>88</v>
      </c>
      <c r="E55" t="s">
        <v>44</v>
      </c>
      <c r="F55" t="b">
        <v>0</v>
      </c>
    </row>
    <row r="56" spans="1:7" x14ac:dyDescent="0.3">
      <c r="A56" t="s">
        <v>113</v>
      </c>
      <c r="B56" t="s">
        <v>19</v>
      </c>
      <c r="C56" t="s">
        <v>66</v>
      </c>
      <c r="D56" t="s">
        <v>83</v>
      </c>
      <c r="E56" t="s">
        <v>44</v>
      </c>
      <c r="F56" t="b">
        <v>0</v>
      </c>
      <c r="G56" t="s">
        <v>58</v>
      </c>
    </row>
    <row r="57" spans="1:7" x14ac:dyDescent="0.3">
      <c r="A57" t="s">
        <v>114</v>
      </c>
      <c r="B57" t="s">
        <v>19</v>
      </c>
      <c r="C57" t="s">
        <v>66</v>
      </c>
      <c r="D57" t="s">
        <v>85</v>
      </c>
      <c r="E57" t="s">
        <v>44</v>
      </c>
      <c r="F57" t="b">
        <v>0</v>
      </c>
      <c r="G57" t="s">
        <v>131</v>
      </c>
    </row>
    <row r="58" spans="1:7" x14ac:dyDescent="0.3">
      <c r="A58" t="s">
        <v>115</v>
      </c>
      <c r="B58" t="s">
        <v>19</v>
      </c>
      <c r="C58" t="s">
        <v>27</v>
      </c>
      <c r="D58" t="s">
        <v>111</v>
      </c>
      <c r="E58" t="s">
        <v>44</v>
      </c>
      <c r="F58" t="b">
        <v>1</v>
      </c>
      <c r="G58" t="s">
        <v>58</v>
      </c>
    </row>
    <row r="59" spans="1:7" x14ac:dyDescent="0.3">
      <c r="A59" t="s">
        <v>116</v>
      </c>
      <c r="B59" t="s">
        <v>28</v>
      </c>
      <c r="C59" t="s">
        <v>24</v>
      </c>
      <c r="D59" t="s">
        <v>38</v>
      </c>
      <c r="E59" t="s">
        <v>44</v>
      </c>
      <c r="F59" t="b">
        <v>0</v>
      </c>
      <c r="G59" t="s">
        <v>50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F2F882-37CA-472A-BAF2-CBC0BA2E5A79}">
  <sheetPr codeName="Sheet5"/>
  <dimension ref="A1:E3"/>
  <sheetViews>
    <sheetView workbookViewId="0">
      <selection activeCell="H16" sqref="H16"/>
    </sheetView>
  </sheetViews>
  <sheetFormatPr defaultRowHeight="14.4" x14ac:dyDescent="0.3"/>
  <sheetData>
    <row r="1" spans="1:5" x14ac:dyDescent="0.3">
      <c r="A1" s="1" t="s">
        <v>5</v>
      </c>
      <c r="B1" s="1" t="s">
        <v>6</v>
      </c>
      <c r="C1" s="1" t="s">
        <v>7</v>
      </c>
      <c r="D1" s="3" t="s">
        <v>126</v>
      </c>
      <c r="E1" s="3" t="s">
        <v>129</v>
      </c>
    </row>
    <row r="2" spans="1:5" x14ac:dyDescent="0.3">
      <c r="A2" t="s">
        <v>19</v>
      </c>
      <c r="B2" t="s">
        <v>20</v>
      </c>
      <c r="C2" t="s">
        <v>21</v>
      </c>
      <c r="D2" t="s">
        <v>127</v>
      </c>
      <c r="E2" t="s">
        <v>127</v>
      </c>
    </row>
    <row r="3" spans="1:5" x14ac:dyDescent="0.3">
      <c r="A3" t="s">
        <v>19</v>
      </c>
      <c r="B3" t="s">
        <v>20</v>
      </c>
      <c r="C3" t="s">
        <v>72</v>
      </c>
      <c r="D3" t="s">
        <v>128</v>
      </c>
      <c r="E3" t="s">
        <v>128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C5"/>
  <sheetViews>
    <sheetView workbookViewId="0">
      <selection activeCell="C25" sqref="C25"/>
    </sheetView>
  </sheetViews>
  <sheetFormatPr defaultRowHeight="14.4" x14ac:dyDescent="0.3"/>
  <sheetData>
    <row r="1" spans="1:3" x14ac:dyDescent="0.3">
      <c r="A1" s="1" t="s">
        <v>5</v>
      </c>
      <c r="B1" s="1" t="s">
        <v>6</v>
      </c>
      <c r="C1" s="1" t="s">
        <v>10</v>
      </c>
    </row>
    <row r="2" spans="1:3" x14ac:dyDescent="0.3">
      <c r="A2" t="s">
        <v>19</v>
      </c>
      <c r="B2" t="s">
        <v>20</v>
      </c>
      <c r="C2" t="s">
        <v>65</v>
      </c>
    </row>
    <row r="3" spans="1:3" x14ac:dyDescent="0.3">
      <c r="A3" t="s">
        <v>19</v>
      </c>
      <c r="B3" t="s">
        <v>66</v>
      </c>
      <c r="C3" t="s">
        <v>67</v>
      </c>
    </row>
    <row r="4" spans="1:3" x14ac:dyDescent="0.3">
      <c r="A4" t="s">
        <v>19</v>
      </c>
      <c r="B4" t="s">
        <v>27</v>
      </c>
      <c r="C4" t="s">
        <v>68</v>
      </c>
    </row>
    <row r="5" spans="1:3" x14ac:dyDescent="0.3">
      <c r="A5" t="s">
        <v>19</v>
      </c>
      <c r="B5" t="s">
        <v>69</v>
      </c>
      <c r="C5" t="s">
        <v>69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C28"/>
  <sheetViews>
    <sheetView workbookViewId="0">
      <selection activeCell="C28" sqref="C28"/>
    </sheetView>
  </sheetViews>
  <sheetFormatPr defaultRowHeight="14.4" x14ac:dyDescent="0.3"/>
  <sheetData>
    <row r="1" spans="1:3" x14ac:dyDescent="0.3">
      <c r="A1" s="1" t="s">
        <v>11</v>
      </c>
      <c r="B1" s="1" t="s">
        <v>12</v>
      </c>
      <c r="C1" s="1" t="s">
        <v>13</v>
      </c>
    </row>
    <row r="2" spans="1:3" x14ac:dyDescent="0.3">
      <c r="A2" t="s">
        <v>45</v>
      </c>
      <c r="B2" t="s">
        <v>46</v>
      </c>
      <c r="C2">
        <v>1E-3</v>
      </c>
    </row>
    <row r="3" spans="1:3" x14ac:dyDescent="0.3">
      <c r="A3" t="s">
        <v>45</v>
      </c>
      <c r="B3" t="s">
        <v>47</v>
      </c>
      <c r="C3">
        <v>9.9999999999999995E-7</v>
      </c>
    </row>
    <row r="4" spans="1:3" x14ac:dyDescent="0.3">
      <c r="A4" t="s">
        <v>48</v>
      </c>
      <c r="B4" t="s">
        <v>49</v>
      </c>
      <c r="C4">
        <v>1</v>
      </c>
    </row>
    <row r="5" spans="1:3" x14ac:dyDescent="0.3">
      <c r="A5" t="s">
        <v>49</v>
      </c>
      <c r="B5" t="s">
        <v>48</v>
      </c>
      <c r="C5">
        <v>1</v>
      </c>
    </row>
    <row r="6" spans="1:3" x14ac:dyDescent="0.3">
      <c r="A6" s="2">
        <v>0</v>
      </c>
      <c r="B6" t="s">
        <v>50</v>
      </c>
      <c r="C6">
        <v>1000</v>
      </c>
    </row>
    <row r="7" spans="1:3" x14ac:dyDescent="0.3">
      <c r="A7" t="s">
        <v>51</v>
      </c>
      <c r="B7" t="s">
        <v>50</v>
      </c>
      <c r="C7">
        <v>1000000</v>
      </c>
    </row>
    <row r="8" spans="1:3" x14ac:dyDescent="0.3">
      <c r="A8" t="s">
        <v>50</v>
      </c>
      <c r="B8" s="2">
        <v>0</v>
      </c>
      <c r="C8">
        <v>1E-3</v>
      </c>
    </row>
    <row r="9" spans="1:3" x14ac:dyDescent="0.3">
      <c r="A9" t="s">
        <v>52</v>
      </c>
      <c r="B9" t="s">
        <v>48</v>
      </c>
      <c r="C9">
        <v>1E-3</v>
      </c>
    </row>
    <row r="10" spans="1:3" x14ac:dyDescent="0.3">
      <c r="A10" t="s">
        <v>48</v>
      </c>
      <c r="B10" t="s">
        <v>52</v>
      </c>
      <c r="C10">
        <v>1000</v>
      </c>
    </row>
    <row r="11" spans="1:3" x14ac:dyDescent="0.3">
      <c r="A11" t="s">
        <v>53</v>
      </c>
      <c r="B11" t="s">
        <v>49</v>
      </c>
      <c r="C11">
        <v>1E-3</v>
      </c>
    </row>
    <row r="12" spans="1:3" x14ac:dyDescent="0.3">
      <c r="A12" t="s">
        <v>49</v>
      </c>
      <c r="B12" t="s">
        <v>53</v>
      </c>
      <c r="C12">
        <v>1000</v>
      </c>
    </row>
    <row r="13" spans="1:3" x14ac:dyDescent="0.3">
      <c r="A13" t="s">
        <v>49</v>
      </c>
      <c r="B13" t="s">
        <v>54</v>
      </c>
      <c r="C13">
        <v>1E-3</v>
      </c>
    </row>
    <row r="14" spans="1:3" x14ac:dyDescent="0.3">
      <c r="A14" t="s">
        <v>54</v>
      </c>
      <c r="B14" t="s">
        <v>49</v>
      </c>
      <c r="C14">
        <v>1000</v>
      </c>
    </row>
    <row r="15" spans="1:3" x14ac:dyDescent="0.3">
      <c r="A15" t="s">
        <v>55</v>
      </c>
      <c r="B15" t="s">
        <v>56</v>
      </c>
      <c r="C15">
        <v>1000</v>
      </c>
    </row>
    <row r="16" spans="1:3" x14ac:dyDescent="0.3">
      <c r="A16" t="s">
        <v>56</v>
      </c>
      <c r="B16" t="s">
        <v>55</v>
      </c>
      <c r="C16">
        <v>1E-3</v>
      </c>
    </row>
    <row r="17" spans="1:3" x14ac:dyDescent="0.3">
      <c r="A17" t="s">
        <v>55</v>
      </c>
      <c r="B17" t="s">
        <v>57</v>
      </c>
      <c r="C17">
        <v>1000000</v>
      </c>
    </row>
    <row r="18" spans="1:3" x14ac:dyDescent="0.3">
      <c r="A18" t="s">
        <v>57</v>
      </c>
      <c r="B18" t="s">
        <v>55</v>
      </c>
      <c r="C18">
        <v>9.9999999999999995E-7</v>
      </c>
    </row>
    <row r="19" spans="1:3" x14ac:dyDescent="0.3">
      <c r="A19" t="s">
        <v>56</v>
      </c>
      <c r="B19" t="s">
        <v>57</v>
      </c>
      <c r="C19">
        <v>1000</v>
      </c>
    </row>
    <row r="20" spans="1:3" x14ac:dyDescent="0.3">
      <c r="A20" t="s">
        <v>57</v>
      </c>
      <c r="B20" t="s">
        <v>56</v>
      </c>
      <c r="C20">
        <v>1E-3</v>
      </c>
    </row>
    <row r="21" spans="1:3" x14ac:dyDescent="0.3">
      <c r="A21" t="s">
        <v>58</v>
      </c>
      <c r="B21" t="s">
        <v>59</v>
      </c>
      <c r="C21">
        <v>1</v>
      </c>
    </row>
    <row r="22" spans="1:3" x14ac:dyDescent="0.3">
      <c r="A22" t="s">
        <v>60</v>
      </c>
      <c r="B22" t="s">
        <v>61</v>
      </c>
      <c r="C22">
        <v>1</v>
      </c>
    </row>
    <row r="23" spans="1:3" x14ac:dyDescent="0.3">
      <c r="A23" t="s">
        <v>62</v>
      </c>
      <c r="B23" t="s">
        <v>63</v>
      </c>
      <c r="C23">
        <v>1</v>
      </c>
    </row>
    <row r="24" spans="1:3" x14ac:dyDescent="0.3">
      <c r="A24" t="s">
        <v>63</v>
      </c>
      <c r="B24" t="s">
        <v>62</v>
      </c>
      <c r="C24">
        <v>1</v>
      </c>
    </row>
    <row r="25" spans="1:3" x14ac:dyDescent="0.3">
      <c r="A25" t="s">
        <v>64</v>
      </c>
      <c r="B25" t="s">
        <v>63</v>
      </c>
      <c r="C25">
        <v>5.0000000000000001E-4</v>
      </c>
    </row>
    <row r="26" spans="1:3" x14ac:dyDescent="0.3">
      <c r="A26" t="s">
        <v>63</v>
      </c>
      <c r="B26" t="s">
        <v>64</v>
      </c>
      <c r="C26">
        <v>2000</v>
      </c>
    </row>
    <row r="27" spans="1:3" x14ac:dyDescent="0.3">
      <c r="A27" t="s">
        <v>117</v>
      </c>
      <c r="B27" t="s">
        <v>58</v>
      </c>
      <c r="C27">
        <f>1/100</f>
        <v>0.01</v>
      </c>
    </row>
    <row r="28" spans="1:3" x14ac:dyDescent="0.3">
      <c r="A28" t="s">
        <v>58</v>
      </c>
      <c r="B28" t="s">
        <v>117</v>
      </c>
      <c r="C28">
        <v>100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Summary</vt:lpstr>
      <vt:lpstr>Blueprint_std</vt:lpstr>
      <vt:lpstr>Blueprint_rat</vt:lpstr>
      <vt:lpstr>Groups</vt:lpstr>
      <vt:lpstr>UnitConversion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Zack Pecenak</cp:lastModifiedBy>
  <dcterms:created xsi:type="dcterms:W3CDTF">2026-07-18T00:43:13Z</dcterms:created>
  <dcterms:modified xsi:type="dcterms:W3CDTF">2026-07-24T13:33:16Z</dcterms:modified>
</cp:coreProperties>
</file>