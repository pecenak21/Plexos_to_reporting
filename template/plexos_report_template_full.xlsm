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37A1C535-8E47-4733-960A-B92595EB0AE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ummary" sheetId="1" r:id="rId1"/>
    <sheet name="Blueprint_std" sheetId="2" r:id="rId2"/>
    <sheet name="Generator_name_map" sheetId="6" r:id="rId3"/>
    <sheet name="Contract_name_map" sheetId="7" r:id="rId4"/>
    <sheet name="Blueprint_rat" sheetId="5" r:id="rId5"/>
    <sheet name="Groups" sheetId="3" r:id="rId6"/>
    <sheet name="UnitConversion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7" l="1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C27" i="4"/>
</calcChain>
</file>

<file path=xl/sharedStrings.xml><?xml version="1.0" encoding="utf-8"?>
<sst xmlns="http://schemas.openxmlformats.org/spreadsheetml/2006/main" count="1339" uniqueCount="514">
  <si>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</si>
  <si>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</si>
  <si>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</si>
  <si>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</si>
  <si>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</si>
  <si>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</si>
  <si>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</si>
  <si>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</si>
  <si>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</si>
  <si>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</si>
  <si>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</si>
  <si>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</si>
  <si>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</si>
  <si>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</si>
  <si>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</si>
  <si>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</si>
  <si>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</si>
  <si>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</si>
  <si>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</si>
  <si>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</si>
  <si>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</si>
  <si>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</si>
  <si>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</si>
  <si>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</si>
  <si>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</si>
  <si>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</si>
  <si>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</si>
  <si>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</si>
  <si>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</si>
  <si>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</si>
  <si>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</si>
  <si>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</si>
  <si>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</si>
  <si>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</si>
  <si>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</si>
  <si>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</si>
  <si>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</si>
  <si>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</si>
  <si>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</si>
  <si>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</si>
  <si>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</si>
  <si>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</si>
  <si>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</si>
  <si>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</si>
  <si>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</si>
  <si>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</si>
  <si>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</si>
  <si>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</si>
  <si>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</si>
  <si>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</si>
  <si>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</si>
  <si>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</si>
  <si>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</si>
  <si>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</si>
  <si>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</si>
  <si>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</si>
  <si>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</si>
  <si>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</si>
  <si>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</si>
  <si>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</si>
  <si>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</si>
  <si>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</si>
  <si>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</si>
  <si>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</si>
  <si>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</si>
  <si>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</si>
  <si>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</si>
  <si>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</si>
  <si>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</si>
  <si>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</si>
  <si>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</si>
  <si>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</si>
  <si>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</si>
  <si>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</si>
  <si>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</si>
  <si>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</si>
  <si>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</si>
  <si>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</si>
  <si>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</si>
  <si>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</si>
  <si>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</si>
  <si>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</si>
  <si>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</si>
  <si>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</si>
  <si>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</si>
  <si>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</si>
  <si>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</si>
  <si>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</si>
  <si>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</si>
  <si>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</si>
  <si>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</si>
  <si>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</si>
  <si>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</si>
  <si>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</si>
  <si>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</si>
  <si>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</si>
  <si>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</si>
  <si>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</si>
  <si>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</si>
  <si>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</si>
  <si>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</si>
  <si>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</si>
  <si>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</si>
  <si>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</si>
  <si>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</si>
  <si>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</si>
  <si>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</si>
  <si>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</si>
  <si>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</si>
  <si>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</si>
  <si>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</si>
  <si>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</si>
  <si>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</si>
  <si>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</si>
  <si>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</si>
  <si>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</si>
  <si>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</si>
  <si>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</si>
  <si>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</si>
  <si>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</si>
  <si>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</si>
  <si>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</si>
  <si>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</si>
  <si>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</si>
  <si>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</si>
  <si>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</si>
  <si>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</si>
  <si>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</si>
  <si>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</si>
  <si>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Overwrite_Parquet</t>
  </si>
  <si>
    <t>Run_Integration_Test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</si>
  <si>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</si>
  <si>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</si>
  <si>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</si>
  <si>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</si>
  <si>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</si>
  <si>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</si>
  <si>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</si>
  <si>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</si>
  <si>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</si>
  <si>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</si>
  <si>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</si>
  <si>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</si>
  <si>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</si>
  <si>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</si>
  <si>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</si>
  <si>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</si>
  <si>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</si>
  <si>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</si>
  <si>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</si>
  <si>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</si>
  <si>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</si>
  <si>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</si>
  <si>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</si>
  <si>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</si>
  <si>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</si>
  <si>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</si>
  <si>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</si>
  <si>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</si>
  <si>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</si>
  <si>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</si>
  <si>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</si>
  <si>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</si>
  <si>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</si>
  <si>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</si>
  <si>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</si>
  <si>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</si>
  <si>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</si>
  <si>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</si>
  <si>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</si>
  <si>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</si>
  <si>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</si>
  <si>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</si>
  <si>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</si>
  <si>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</si>
  <si>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</si>
  <si>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</si>
  <si>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</si>
  <si>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</si>
  <si>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</si>
  <si>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</si>
  <si>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</si>
  <si>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</si>
  <si>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</si>
  <si>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</si>
  <si>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</si>
  <si>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</si>
  <si>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</si>
  <si>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</si>
  <si>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</si>
  <si>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</si>
  <si>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</si>
  <si>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</si>
  <si>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</si>
  <si>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</si>
  <si>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</si>
  <si>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</si>
  <si>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</si>
  <si>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</si>
  <si>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</si>
  <si>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</si>
  <si>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</si>
  <si>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</si>
  <si>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</si>
  <si>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</si>
  <si>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</si>
  <si>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</si>
  <si>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</si>
  <si>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</si>
  <si>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</si>
  <si>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</si>
  <si>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</si>
  <si>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</si>
  <si>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</si>
  <si>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</si>
  <si>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</si>
  <si>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</si>
  <si>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</si>
  <si>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</si>
  <si>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</si>
  <si>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</si>
  <si>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</si>
  <si>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</si>
  <si>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</si>
  <si>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</si>
  <si>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</si>
  <si>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</si>
  <si>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</si>
  <si>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</si>
  <si>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</si>
  <si>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</si>
  <si>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</si>
  <si>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</si>
  <si>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</si>
  <si>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</si>
  <si>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</si>
  <si>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</si>
  <si>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</si>
  <si>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</si>
  <si>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</si>
  <si>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</si>
  <si>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</si>
  <si>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</si>
  <si>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</si>
  <si>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</si>
  <si>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</si>
  <si>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</si>
  <si>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</si>
  <si>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</si>
  <si>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</si>
  <si>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</si>
  <si>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</si>
  <si>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</si>
  <si>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</si>
  <si>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</si>
  <si>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</si>
  <si>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</si>
  <si>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</si>
  <si>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</si>
  <si>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</si>
  <si>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</si>
  <si>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</si>
  <si>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</si>
  <si>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</si>
  <si>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</si>
  <si>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</si>
  <si>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</si>
  <si>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</si>
  <si>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</si>
  <si>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</si>
  <si>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</si>
  <si>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</si>
  <si>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</si>
  <si>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</si>
  <si>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</si>
  <si>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</si>
  <si>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</si>
  <si>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</si>
  <si>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</si>
  <si>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</si>
  <si>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</si>
  <si>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</si>
  <si>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</si>
  <si>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</si>
  <si>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</si>
  <si>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</si>
  <si>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</si>
  <si>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</si>
  <si>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</si>
  <si>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</si>
  <si>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</si>
  <si>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</si>
  <si>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</si>
  <si>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</si>
  <si>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</si>
  <si>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</si>
  <si>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</si>
  <si>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</si>
  <si>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</si>
  <si>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</si>
  <si>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</si>
  <si>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</si>
  <si>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</si>
  <si>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</si>
  <si>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</si>
  <si>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</si>
  <si>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</si>
  <si>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</si>
  <si>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</si>
  <si>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</si>
  <si>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</si>
  <si>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</si>
  <si>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</si>
  <si>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</si>
  <si>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</si>
  <si>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</si>
  <si>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</si>
  <si>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</si>
  <si>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</si>
  <si>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</si>
  <si>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</si>
  <si>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</si>
  <si>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</si>
  <si>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</si>
  <si>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</si>
  <si>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</si>
  <si>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</si>
  <si>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</si>
  <si>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</si>
  <si>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</si>
  <si>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</si>
  <si>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</si>
  <si>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</si>
  <si>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</si>
  <si>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</si>
  <si>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</si>
  <si>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</si>
  <si>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</si>
  <si>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</si>
  <si>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</si>
  <si>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</si>
  <si>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</si>
  <si>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</si>
  <si>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</si>
  <si>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</si>
  <si>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</si>
  <si>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</si>
  <si>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</si>
  <si>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</si>
  <si>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</si>
  <si>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</si>
  <si>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</si>
  <si>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</si>
  <si>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</si>
  <si>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</si>
  <si>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</si>
  <si>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</si>
  <si>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</si>
  <si>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</si>
  <si>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</si>
  <si>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</si>
  <si>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</si>
  <si>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</si>
  <si>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</si>
  <si>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</si>
  <si>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</si>
  <si>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</si>
  <si>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</si>
  <si>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</si>
  <si>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</si>
  <si>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</si>
  <si>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</si>
  <si>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</si>
  <si>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</si>
  <si>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</si>
  <si>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</si>
  <si>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</si>
  <si>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</si>
  <si>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</si>
  <si>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</si>
  <si>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</si>
  <si>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</si>
  <si>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</si>
  <si>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</si>
  <si>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</si>
  <si>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</si>
  <si>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</si>
  <si>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</si>
  <si>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</si>
  <si>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</si>
  <si>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</si>
  <si>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</si>
  <si>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</si>
  <si>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</si>
  <si>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</si>
  <si>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</si>
  <si>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</si>
  <si>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</si>
  <si>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</si>
  <si>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</si>
  <si>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</si>
  <si>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</si>
  <si>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</si>
  <si>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</si>
  <si>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</si>
  <si>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</si>
  <si>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</si>
  <si>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</si>
  <si>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</si>
  <si>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</si>
  <si>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</si>
  <si>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</si>
  <si>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</si>
  <si>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</si>
  <si>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</si>
  <si>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</si>
  <si>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</si>
  <si>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</si>
  <si>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</si>
  <si>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</si>
  <si>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</si>
  <si>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</si>
  <si>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</si>
  <si>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</si>
  <si>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</si>
  <si>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</si>
  <si>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</si>
  <si>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</si>
  <si>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</si>
  <si>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</si>
  <si>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</si>
  <si>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</si>
  <si>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</si>
  <si>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</si>
  <si>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</si>
  <si>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</si>
  <si>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</si>
  <si>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</si>
  <si>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</si>
  <si>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</si>
  <si>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</si>
  <si>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</si>
  <si>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</si>
  <si>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</si>
  <si>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</si>
  <si>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</si>
  <si>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</si>
  <si>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</si>
  <si>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</si>
  <si>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</si>
  <si>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</si>
  <si>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</si>
  <si>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</si>
  <si>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</si>
  <si>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</si>
  <si>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</si>
  <si>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</si>
  <si>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</si>
  <si>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</si>
  <si>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</si>
  <si>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</si>
  <si>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</si>
  <si>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</si>
  <si>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</si>
  <si>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</si>
  <si>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</si>
  <si>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Name-based guess; same coal as FC45 Cont.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</si>
  <si>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</si>
  <si>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</si>
  <si>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</si>
  <si>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</si>
  <si>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</si>
  <si>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</si>
  <si>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Name-based guess. 1 / 19.4 MMBtu per ton is a placeholder Cholla coal estimate -- APS to confirm.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</si>
  <si>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</si>
  <si>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</si>
  <si>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</si>
  <si>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</si>
  <si>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</si>
  <si>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>Name-based guess.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</si>
  <si>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</si>
  <si>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</si>
  <si>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</si>
  <si>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</si>
  <si>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</si>
  <si>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</si>
  <si>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Name-based guess; assumes distillate. 1 / 5.825 MMBtu per bbl (EIA distillate heat content) -- APS to confirm.</t>
  </si>
  <si>
    <t>WALCTollGas TW Griffith</t>
  </si>
  <si>
    <t xml:space="preserve">TW CONT GAS </t>
  </si>
  <si>
    <t>Name-based guess (Transwestern).</t>
  </si>
  <si>
    <t>WALCTollGas EP South Point</t>
  </si>
  <si>
    <t>EP Interrupt</t>
  </si>
  <si>
    <t>Name-based guess (El Paso).</t>
  </si>
  <si>
    <t>PermianNewGas TW PHX</t>
  </si>
  <si>
    <t xml:space="preserve">PERMIAN GAS </t>
  </si>
  <si>
    <t>WALCTollGas EP Griffith</t>
  </si>
  <si>
    <t xml:space="preserve">EP Inc Gas  </t>
  </si>
  <si>
    <t>UR</t>
  </si>
  <si>
    <t>Unmapped (omitted from report). Nuclear fuel. RTSim reports it per reactor (Palo Verde 1/2/3), which needs generator-level offtake -- left unmapped for now.</t>
  </si>
  <si>
    <t>OT</t>
  </si>
  <si>
    <t>Unmapped (omitted from report). Has offtake in Plexos but no obvious RTSim contract.</t>
  </si>
  <si>
    <t>FC45_Gas</t>
  </si>
  <si>
    <t>Unmapped (omitted from report). No second Four Corners gas row left in RTSim to map to 1:1.</t>
  </si>
  <si>
    <t>SJ Gas</t>
  </si>
  <si>
    <t>Unmapped (omitted from report). No obvious RTSim contract.</t>
  </si>
  <si>
    <t>MKTGas</t>
  </si>
  <si>
    <t>NewGas</t>
  </si>
  <si>
    <t>CCFN</t>
  </si>
  <si>
    <t>CCLI</t>
  </si>
  <si>
    <t>Conservation</t>
  </si>
  <si>
    <t>Unmapped (omitted from report). Not a fuel contract.</t>
  </si>
  <si>
    <t>PS</t>
  </si>
  <si>
    <t>SUN</t>
  </si>
  <si>
    <t>WND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</si>
</sst>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49" fontId="4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E39" sqref="E39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131</v>
      </c>
    </row>
    <row r="3" spans="1:2" x14ac:dyDescent="0.25">
      <c r="A3" t="s">
        <v>15</v>
      </c>
      <c r="B3" t="s">
        <v>135</v>
      </c>
    </row>
    <row r="4" spans="1:2" x14ac:dyDescent="0.25">
      <c r="A4" t="s">
        <v>16</v>
      </c>
      <c r="B4" t="s">
        <v>132</v>
      </c>
    </row>
    <row r="5" spans="1:2" x14ac:dyDescent="0.25">
      <c r="A5" t="s">
        <v>14</v>
      </c>
      <c r="B5" t="s">
        <v>133</v>
      </c>
    </row>
    <row r="6" spans="1:2" x14ac:dyDescent="0.25">
      <c r="A6" t="s">
        <v>3</v>
      </c>
      <c r="B6" t="s">
        <v>134</v>
      </c>
    </row>
    <row r="24" spans="10:10" x14ac:dyDescent="0.25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workbookViewId="0">
      <selection activeCell="H1" sqref="H1"/>
    </sheetView>
  </sheetViews>
  <sheetFormatPr defaultRowHeight="15" x14ac:dyDescent="0.25"/>
  <cols>
    <col min="1" max="1" width="29.140625" customWidth="1"/>
    <col min="2" max="2" width="21.5703125" customWidth="1"/>
    <col min="4" max="4" width="25.140625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  <c r="H1" s="3" t="s">
        <v>453</v>
      </c>
    </row>
    <row r="2" spans="1:8" x14ac:dyDescent="0.2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  <c r="H2">
        <v>1</v>
      </c>
    </row>
    <row r="3" spans="1:8" x14ac:dyDescent="0.25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  <c r="H3">
        <v>1</v>
      </c>
    </row>
    <row r="4" spans="1:8" x14ac:dyDescent="0.25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  <c r="H4">
        <v>1</v>
      </c>
    </row>
    <row r="5" spans="1:8" x14ac:dyDescent="0.25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  <c r="H5">
        <v>1</v>
      </c>
    </row>
    <row r="6" spans="1:8" x14ac:dyDescent="0.25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  <c r="H6">
        <v>1</v>
      </c>
    </row>
    <row r="7" spans="1:8" x14ac:dyDescent="0.25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  <c r="H7">
        <v>1</v>
      </c>
    </row>
    <row r="8" spans="1:8" x14ac:dyDescent="0.25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25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25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25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25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25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25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25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25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25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25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25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25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25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  <c r="H21">
        <v>1</v>
      </c>
    </row>
    <row r="22" spans="1:8" x14ac:dyDescent="0.25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126</v>
      </c>
      <c r="H22">
        <v>1</v>
      </c>
    </row>
    <row r="23" spans="1:8" x14ac:dyDescent="0.25">
      <c r="A23" t="s">
        <v>118</v>
      </c>
      <c r="B23" t="s">
        <v>18</v>
      </c>
      <c r="C23" t="s">
        <v>19</v>
      </c>
      <c r="D23" t="s">
        <v>117</v>
      </c>
      <c r="E23" t="s">
        <v>43</v>
      </c>
      <c r="F23" t="b">
        <v>0</v>
      </c>
      <c r="G23" t="s">
        <v>122</v>
      </c>
      <c r="H23">
        <v>1</v>
      </c>
    </row>
    <row r="24" spans="1:8" x14ac:dyDescent="0.25">
      <c r="A24" t="s">
        <v>452</v>
      </c>
      <c r="B24" t="s">
        <v>450</v>
      </c>
      <c r="C24" t="s">
        <v>19</v>
      </c>
      <c r="D24" t="s">
        <v>92</v>
      </c>
      <c r="E24" t="s">
        <v>43</v>
      </c>
      <c r="F24" t="b">
        <v>0</v>
      </c>
      <c r="G24" t="s">
        <v>122</v>
      </c>
      <c r="H24">
        <v>1</v>
      </c>
    </row>
    <row r="25" spans="1:8" x14ac:dyDescent="0.25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124</v>
      </c>
      <c r="H25">
        <v>1</v>
      </c>
    </row>
    <row r="26" spans="1:8" x14ac:dyDescent="0.25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25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25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25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25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25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25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125</v>
      </c>
      <c r="H32">
        <v>1</v>
      </c>
    </row>
    <row r="33" spans="1:8" x14ac:dyDescent="0.25">
      <c r="A33" t="s">
        <v>85</v>
      </c>
      <c r="B33" t="s">
        <v>451</v>
      </c>
      <c r="C33" t="s">
        <v>23</v>
      </c>
      <c r="D33" t="s">
        <v>87</v>
      </c>
      <c r="E33" t="s">
        <v>43</v>
      </c>
      <c r="F33" t="b">
        <v>0</v>
      </c>
      <c r="G33" t="s">
        <v>62</v>
      </c>
      <c r="H33">
        <v>1</v>
      </c>
    </row>
    <row r="34" spans="1:8" x14ac:dyDescent="0.25">
      <c r="A34" t="s">
        <v>88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126</v>
      </c>
      <c r="H34">
        <v>-1</v>
      </c>
    </row>
    <row r="35" spans="1:8" x14ac:dyDescent="0.25">
      <c r="A35" t="s">
        <v>88</v>
      </c>
      <c r="B35" t="s">
        <v>18</v>
      </c>
      <c r="C35" t="s">
        <v>454</v>
      </c>
      <c r="D35" t="s">
        <v>20</v>
      </c>
      <c r="E35" t="s">
        <v>43</v>
      </c>
      <c r="F35" t="b">
        <v>0</v>
      </c>
      <c r="G35" t="s">
        <v>126</v>
      </c>
      <c r="H35">
        <v>-1</v>
      </c>
    </row>
    <row r="36" spans="1:8" x14ac:dyDescent="0.25">
      <c r="A36" t="s">
        <v>89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25">
      <c r="A37" t="s">
        <v>89</v>
      </c>
      <c r="B37" t="s">
        <v>18</v>
      </c>
      <c r="C37" t="s">
        <v>454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25">
      <c r="A38" t="s">
        <v>90</v>
      </c>
      <c r="B38" t="s">
        <v>91</v>
      </c>
      <c r="C38" t="s">
        <v>23</v>
      </c>
      <c r="D38" t="s">
        <v>92</v>
      </c>
      <c r="E38" t="s">
        <v>43</v>
      </c>
      <c r="F38" t="b">
        <v>0</v>
      </c>
      <c r="G38" t="s">
        <v>127</v>
      </c>
      <c r="H38">
        <v>1</v>
      </c>
    </row>
    <row r="39" spans="1:8" x14ac:dyDescent="0.25">
      <c r="A39" t="s">
        <v>93</v>
      </c>
      <c r="B39" t="s">
        <v>91</v>
      </c>
      <c r="C39" t="s">
        <v>23</v>
      </c>
      <c r="D39" t="s">
        <v>94</v>
      </c>
      <c r="E39" t="s">
        <v>43</v>
      </c>
      <c r="F39" t="b">
        <v>0</v>
      </c>
      <c r="G39" t="s">
        <v>49</v>
      </c>
      <c r="H39">
        <v>1</v>
      </c>
    </row>
    <row r="40" spans="1:8" x14ac:dyDescent="0.25">
      <c r="A40" t="s">
        <v>95</v>
      </c>
      <c r="B40" t="s">
        <v>91</v>
      </c>
      <c r="C40" t="s">
        <v>23</v>
      </c>
      <c r="D40" t="s">
        <v>92</v>
      </c>
      <c r="E40" t="s">
        <v>96</v>
      </c>
      <c r="F40" t="b">
        <v>0</v>
      </c>
      <c r="G40" t="s">
        <v>128</v>
      </c>
      <c r="H40">
        <v>1</v>
      </c>
    </row>
    <row r="41" spans="1:8" x14ac:dyDescent="0.25">
      <c r="A41" t="s">
        <v>97</v>
      </c>
      <c r="B41" t="s">
        <v>91</v>
      </c>
      <c r="C41" t="s">
        <v>23</v>
      </c>
      <c r="D41" t="s">
        <v>94</v>
      </c>
      <c r="E41" t="s">
        <v>96</v>
      </c>
      <c r="F41" t="b">
        <v>0</v>
      </c>
      <c r="G41" t="s">
        <v>49</v>
      </c>
      <c r="H41">
        <v>1</v>
      </c>
    </row>
    <row r="42" spans="1:8" x14ac:dyDescent="0.25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25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25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25">
      <c r="A45" t="s">
        <v>98</v>
      </c>
      <c r="B45" t="s">
        <v>27</v>
      </c>
      <c r="C45" t="s">
        <v>23</v>
      </c>
      <c r="D45" t="s">
        <v>99</v>
      </c>
      <c r="E45" t="s">
        <v>21</v>
      </c>
      <c r="F45" t="b">
        <v>0</v>
      </c>
      <c r="H45">
        <v>1</v>
      </c>
    </row>
    <row r="46" spans="1:8" x14ac:dyDescent="0.25">
      <c r="A46" t="s">
        <v>98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25">
      <c r="A47" t="s">
        <v>100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25">
      <c r="A48" t="s">
        <v>100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25">
      <c r="A49" t="s">
        <v>101</v>
      </c>
      <c r="B49" t="s">
        <v>451</v>
      </c>
      <c r="C49" t="s">
        <v>23</v>
      </c>
      <c r="D49" t="s">
        <v>87</v>
      </c>
      <c r="E49" t="s">
        <v>21</v>
      </c>
      <c r="F49" t="b">
        <v>0</v>
      </c>
      <c r="H49">
        <v>1</v>
      </c>
    </row>
    <row r="50" spans="1:8" x14ac:dyDescent="0.25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126</v>
      </c>
      <c r="H50">
        <v>1</v>
      </c>
    </row>
    <row r="51" spans="1:8" x14ac:dyDescent="0.25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126</v>
      </c>
      <c r="H51">
        <v>1</v>
      </c>
    </row>
    <row r="52" spans="1:8" x14ac:dyDescent="0.25">
      <c r="A52" t="s">
        <v>102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126</v>
      </c>
      <c r="H52">
        <v>1</v>
      </c>
    </row>
    <row r="53" spans="1:8" x14ac:dyDescent="0.25">
      <c r="A53" t="s">
        <v>102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126</v>
      </c>
      <c r="H53">
        <v>1</v>
      </c>
    </row>
    <row r="54" spans="1:8" x14ac:dyDescent="0.25">
      <c r="A54" t="s">
        <v>103</v>
      </c>
      <c r="B54" t="s">
        <v>25</v>
      </c>
      <c r="C54" t="s">
        <v>23</v>
      </c>
      <c r="D54" t="s">
        <v>104</v>
      </c>
      <c r="E54" t="s">
        <v>43</v>
      </c>
      <c r="F54" t="b">
        <v>0</v>
      </c>
      <c r="G54" t="s">
        <v>49</v>
      </c>
      <c r="H54">
        <v>1</v>
      </c>
    </row>
    <row r="55" spans="1:8" x14ac:dyDescent="0.25">
      <c r="A55" t="s">
        <v>105</v>
      </c>
      <c r="B55" t="s">
        <v>25</v>
      </c>
      <c r="C55" t="s">
        <v>23</v>
      </c>
      <c r="D55" t="s">
        <v>106</v>
      </c>
      <c r="E55" t="s">
        <v>43</v>
      </c>
      <c r="F55" t="b">
        <v>0</v>
      </c>
      <c r="G55" t="s">
        <v>49</v>
      </c>
      <c r="H55">
        <v>1</v>
      </c>
    </row>
    <row r="56" spans="1:8" x14ac:dyDescent="0.25">
      <c r="A56" t="s">
        <v>107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126</v>
      </c>
      <c r="H56">
        <v>1</v>
      </c>
    </row>
    <row r="57" spans="1:8" x14ac:dyDescent="0.25">
      <c r="A57" t="s">
        <v>108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25">
      <c r="A58" t="s">
        <v>109</v>
      </c>
      <c r="B58" t="s">
        <v>18</v>
      </c>
      <c r="C58" t="s">
        <v>19</v>
      </c>
      <c r="D58" t="s">
        <v>110</v>
      </c>
      <c r="E58" t="s">
        <v>43</v>
      </c>
      <c r="F58" t="b">
        <v>1</v>
      </c>
      <c r="G58" t="s">
        <v>57</v>
      </c>
      <c r="H58">
        <v>1</v>
      </c>
    </row>
    <row r="59" spans="1:8" x14ac:dyDescent="0.25">
      <c r="A59" t="s">
        <v>111</v>
      </c>
      <c r="B59" t="s">
        <v>86</v>
      </c>
      <c r="C59" t="s">
        <v>23</v>
      </c>
      <c r="D59" t="s">
        <v>87</v>
      </c>
      <c r="E59" t="s">
        <v>43</v>
      </c>
      <c r="F59" t="b">
        <v>0</v>
      </c>
      <c r="H59">
        <v>1</v>
      </c>
    </row>
    <row r="60" spans="1:8" x14ac:dyDescent="0.25">
      <c r="A60" t="s">
        <v>112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25">
      <c r="A61" t="s">
        <v>113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125</v>
      </c>
      <c r="H61">
        <v>1</v>
      </c>
    </row>
    <row r="62" spans="1:8" x14ac:dyDescent="0.25">
      <c r="A62" t="s">
        <v>114</v>
      </c>
      <c r="B62" t="s">
        <v>18</v>
      </c>
      <c r="C62" t="s">
        <v>26</v>
      </c>
      <c r="D62" t="s">
        <v>110</v>
      </c>
      <c r="E62" t="s">
        <v>43</v>
      </c>
      <c r="F62" t="b">
        <v>1</v>
      </c>
      <c r="G62" t="s">
        <v>57</v>
      </c>
      <c r="H62">
        <v>1</v>
      </c>
    </row>
    <row r="63" spans="1:8" x14ac:dyDescent="0.25">
      <c r="A63" t="s">
        <v>115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workbookViewId="0">
      <selection activeCell="O9" sqref="O9"/>
    </sheetView>
  </sheetViews>
  <sheetFormatPr defaultRowHeight="15" x14ac:dyDescent="0.25"/>
  <sheetData>
    <row r="1" spans="1:6" ht="30" x14ac:dyDescent="0.25">
      <c r="A1" s="5" t="s">
        <v>136</v>
      </c>
      <c r="B1" s="5" t="s">
        <v>137</v>
      </c>
      <c r="C1" s="5" t="s">
        <v>138</v>
      </c>
      <c r="D1" s="5" t="s">
        <v>139</v>
      </c>
      <c r="E1" s="5" t="s">
        <v>140</v>
      </c>
      <c r="F1" s="5" t="s">
        <v>141</v>
      </c>
    </row>
    <row r="2" spans="1:6" ht="30" x14ac:dyDescent="0.25">
      <c r="A2" s="4" t="s">
        <v>142</v>
      </c>
      <c r="B2" s="4" t="s">
        <v>142</v>
      </c>
      <c r="C2" s="4" t="s">
        <v>143</v>
      </c>
      <c r="D2" s="4" t="s">
        <v>144</v>
      </c>
      <c r="E2" s="4" t="s">
        <v>145</v>
      </c>
      <c r="F2" s="4"/>
    </row>
    <row r="3" spans="1:6" ht="30" x14ac:dyDescent="0.25">
      <c r="A3" s="4" t="s">
        <v>146</v>
      </c>
      <c r="B3" s="4" t="s">
        <v>146</v>
      </c>
      <c r="C3" s="4" t="s">
        <v>143</v>
      </c>
      <c r="D3" s="4" t="s">
        <v>144</v>
      </c>
      <c r="E3" s="4" t="s">
        <v>145</v>
      </c>
      <c r="F3" s="4"/>
    </row>
    <row r="4" spans="1:6" ht="30" x14ac:dyDescent="0.25">
      <c r="A4" s="4" t="s">
        <v>147</v>
      </c>
      <c r="B4" s="4" t="s">
        <v>147</v>
      </c>
      <c r="C4" s="4" t="s">
        <v>143</v>
      </c>
      <c r="D4" s="4" t="s">
        <v>144</v>
      </c>
      <c r="E4" s="4" t="s">
        <v>145</v>
      </c>
      <c r="F4" s="4"/>
    </row>
    <row r="5" spans="1:6" ht="45" x14ac:dyDescent="0.25">
      <c r="A5" s="4" t="s">
        <v>148</v>
      </c>
      <c r="B5" s="4" t="s">
        <v>148</v>
      </c>
      <c r="C5" s="4" t="s">
        <v>149</v>
      </c>
      <c r="D5" s="4" t="s">
        <v>150</v>
      </c>
      <c r="E5" s="4" t="s">
        <v>145</v>
      </c>
      <c r="F5" s="4"/>
    </row>
    <row r="6" spans="1:6" ht="45" x14ac:dyDescent="0.25">
      <c r="A6" s="4" t="s">
        <v>151</v>
      </c>
      <c r="B6" s="4" t="s">
        <v>151</v>
      </c>
      <c r="C6" s="4" t="s">
        <v>149</v>
      </c>
      <c r="D6" s="4" t="s">
        <v>150</v>
      </c>
      <c r="E6" s="4" t="s">
        <v>145</v>
      </c>
      <c r="F6" s="4"/>
    </row>
    <row r="7" spans="1:6" ht="45" x14ac:dyDescent="0.25">
      <c r="A7" s="4" t="s">
        <v>152</v>
      </c>
      <c r="B7" s="4" t="s">
        <v>153</v>
      </c>
      <c r="C7" s="4" t="s">
        <v>154</v>
      </c>
      <c r="D7" s="4" t="s">
        <v>155</v>
      </c>
      <c r="E7" s="4" t="s">
        <v>145</v>
      </c>
      <c r="F7" s="4"/>
    </row>
    <row r="8" spans="1:6" ht="45" x14ac:dyDescent="0.25">
      <c r="A8" s="4" t="s">
        <v>156</v>
      </c>
      <c r="B8" s="4" t="s">
        <v>157</v>
      </c>
      <c r="C8" s="4" t="s">
        <v>154</v>
      </c>
      <c r="D8" s="4" t="s">
        <v>158</v>
      </c>
      <c r="E8" s="4" t="s">
        <v>145</v>
      </c>
      <c r="F8" s="4"/>
    </row>
    <row r="9" spans="1:6" ht="45" x14ac:dyDescent="0.25">
      <c r="A9" s="4" t="s">
        <v>159</v>
      </c>
      <c r="B9" s="4" t="s">
        <v>160</v>
      </c>
      <c r="C9" s="4" t="s">
        <v>154</v>
      </c>
      <c r="D9" s="4" t="s">
        <v>161</v>
      </c>
      <c r="E9" s="4" t="s">
        <v>145</v>
      </c>
      <c r="F9" s="4"/>
    </row>
    <row r="10" spans="1:6" ht="30" x14ac:dyDescent="0.25">
      <c r="A10" s="4" t="s">
        <v>162</v>
      </c>
      <c r="B10" s="4" t="s">
        <v>163</v>
      </c>
      <c r="C10" s="4" t="s">
        <v>154</v>
      </c>
      <c r="D10" s="4" t="s">
        <v>164</v>
      </c>
      <c r="E10" s="4" t="s">
        <v>145</v>
      </c>
      <c r="F10" s="4"/>
    </row>
    <row r="11" spans="1:6" ht="30" x14ac:dyDescent="0.25">
      <c r="A11" s="4" t="s">
        <v>165</v>
      </c>
      <c r="B11" s="4" t="s">
        <v>166</v>
      </c>
      <c r="C11" s="4" t="s">
        <v>154</v>
      </c>
      <c r="D11" s="4" t="s">
        <v>164</v>
      </c>
      <c r="E11" s="4" t="s">
        <v>145</v>
      </c>
      <c r="F11" s="4"/>
    </row>
    <row r="12" spans="1:6" ht="30" x14ac:dyDescent="0.25">
      <c r="A12" s="4" t="s">
        <v>167</v>
      </c>
      <c r="B12" s="4" t="s">
        <v>168</v>
      </c>
      <c r="C12" s="4" t="s">
        <v>154</v>
      </c>
      <c r="D12" s="4" t="s">
        <v>169</v>
      </c>
      <c r="E12" s="4" t="s">
        <v>145</v>
      </c>
      <c r="F12" s="4"/>
    </row>
    <row r="13" spans="1:6" ht="30" x14ac:dyDescent="0.25">
      <c r="A13" s="4" t="s">
        <v>170</v>
      </c>
      <c r="B13" s="4" t="s">
        <v>171</v>
      </c>
      <c r="C13" s="4" t="s">
        <v>154</v>
      </c>
      <c r="D13" s="4" t="s">
        <v>169</v>
      </c>
      <c r="E13" s="4" t="s">
        <v>145</v>
      </c>
      <c r="F13" s="4"/>
    </row>
    <row r="14" spans="1:6" ht="45" x14ac:dyDescent="0.25">
      <c r="A14" s="4" t="s">
        <v>172</v>
      </c>
      <c r="B14" s="4" t="s">
        <v>173</v>
      </c>
      <c r="C14" s="4" t="s">
        <v>154</v>
      </c>
      <c r="D14" s="4" t="s">
        <v>158</v>
      </c>
      <c r="E14" s="4" t="s">
        <v>145</v>
      </c>
      <c r="F14" s="4"/>
    </row>
    <row r="15" spans="1:6" ht="45" x14ac:dyDescent="0.25">
      <c r="A15" s="4" t="s">
        <v>174</v>
      </c>
      <c r="B15" s="4" t="s">
        <v>175</v>
      </c>
      <c r="C15" s="4" t="s">
        <v>154</v>
      </c>
      <c r="D15" s="4" t="s">
        <v>158</v>
      </c>
      <c r="E15" s="4" t="s">
        <v>145</v>
      </c>
      <c r="F15" s="4"/>
    </row>
    <row r="16" spans="1:6" ht="30" x14ac:dyDescent="0.25">
      <c r="A16" s="4" t="s">
        <v>176</v>
      </c>
      <c r="B16" s="4" t="s">
        <v>177</v>
      </c>
      <c r="C16" s="4" t="s">
        <v>154</v>
      </c>
      <c r="D16" s="4" t="s">
        <v>178</v>
      </c>
      <c r="E16" s="4" t="s">
        <v>145</v>
      </c>
      <c r="F16" s="4"/>
    </row>
    <row r="17" spans="1:6" ht="30" x14ac:dyDescent="0.25">
      <c r="A17" s="4" t="s">
        <v>179</v>
      </c>
      <c r="B17" s="4" t="s">
        <v>180</v>
      </c>
      <c r="C17" s="4" t="s">
        <v>154</v>
      </c>
      <c r="D17" s="4" t="s">
        <v>178</v>
      </c>
      <c r="E17" s="4" t="s">
        <v>145</v>
      </c>
      <c r="F17" s="4"/>
    </row>
    <row r="18" spans="1:6" ht="30" x14ac:dyDescent="0.25">
      <c r="A18" s="4" t="s">
        <v>181</v>
      </c>
      <c r="B18" s="4" t="s">
        <v>182</v>
      </c>
      <c r="C18" s="4" t="s">
        <v>154</v>
      </c>
      <c r="D18" s="4" t="s">
        <v>178</v>
      </c>
      <c r="E18" s="4" t="s">
        <v>145</v>
      </c>
      <c r="F18" s="4"/>
    </row>
    <row r="19" spans="1:6" ht="30" x14ac:dyDescent="0.25">
      <c r="A19" s="4" t="s">
        <v>183</v>
      </c>
      <c r="B19" s="4" t="s">
        <v>184</v>
      </c>
      <c r="C19" s="4" t="s">
        <v>185</v>
      </c>
      <c r="D19" s="4" t="s">
        <v>178</v>
      </c>
      <c r="E19" s="4" t="s">
        <v>145</v>
      </c>
      <c r="F19" s="4"/>
    </row>
    <row r="20" spans="1:6" ht="30" x14ac:dyDescent="0.25">
      <c r="A20" s="4" t="s">
        <v>186</v>
      </c>
      <c r="B20" s="4" t="s">
        <v>187</v>
      </c>
      <c r="C20" s="4" t="s">
        <v>185</v>
      </c>
      <c r="D20" s="4" t="s">
        <v>178</v>
      </c>
      <c r="E20" s="4" t="s">
        <v>145</v>
      </c>
      <c r="F20" s="4"/>
    </row>
    <row r="21" spans="1:6" ht="30" x14ac:dyDescent="0.25">
      <c r="A21" s="4" t="s">
        <v>188</v>
      </c>
      <c r="B21" s="4" t="s">
        <v>189</v>
      </c>
      <c r="C21" s="4" t="s">
        <v>154</v>
      </c>
      <c r="D21" s="4" t="s">
        <v>190</v>
      </c>
      <c r="E21" s="4" t="s">
        <v>145</v>
      </c>
      <c r="F21" s="4"/>
    </row>
    <row r="22" spans="1:6" ht="30" x14ac:dyDescent="0.25">
      <c r="A22" s="4" t="s">
        <v>191</v>
      </c>
      <c r="B22" s="4" t="s">
        <v>192</v>
      </c>
      <c r="C22" s="4" t="s">
        <v>154</v>
      </c>
      <c r="D22" s="4" t="s">
        <v>190</v>
      </c>
      <c r="E22" s="4" t="s">
        <v>145</v>
      </c>
      <c r="F22" s="4"/>
    </row>
    <row r="23" spans="1:6" ht="30" x14ac:dyDescent="0.25">
      <c r="A23" s="4" t="s">
        <v>193</v>
      </c>
      <c r="B23" s="4" t="s">
        <v>194</v>
      </c>
      <c r="C23" s="4" t="s">
        <v>154</v>
      </c>
      <c r="D23" s="4" t="s">
        <v>190</v>
      </c>
      <c r="E23" s="4" t="s">
        <v>145</v>
      </c>
      <c r="F23" s="4"/>
    </row>
    <row r="24" spans="1:6" ht="30" x14ac:dyDescent="0.25">
      <c r="A24" s="4" t="s">
        <v>195</v>
      </c>
      <c r="B24" s="4" t="s">
        <v>196</v>
      </c>
      <c r="C24" s="4" t="s">
        <v>154</v>
      </c>
      <c r="D24" s="4" t="s">
        <v>190</v>
      </c>
      <c r="E24" s="4" t="s">
        <v>145</v>
      </c>
      <c r="F24" s="4"/>
    </row>
    <row r="25" spans="1:6" ht="30" x14ac:dyDescent="0.25">
      <c r="A25" s="4" t="s">
        <v>197</v>
      </c>
      <c r="B25" s="4" t="s">
        <v>198</v>
      </c>
      <c r="C25" s="4" t="s">
        <v>154</v>
      </c>
      <c r="D25" s="4" t="s">
        <v>190</v>
      </c>
      <c r="E25" s="4" t="s">
        <v>145</v>
      </c>
      <c r="F25" s="4"/>
    </row>
    <row r="26" spans="1:6" ht="30" x14ac:dyDescent="0.25">
      <c r="A26" s="4" t="s">
        <v>199</v>
      </c>
      <c r="B26" s="4" t="s">
        <v>200</v>
      </c>
      <c r="C26" s="4" t="s">
        <v>154</v>
      </c>
      <c r="D26" s="4" t="s">
        <v>190</v>
      </c>
      <c r="E26" s="4" t="s">
        <v>145</v>
      </c>
      <c r="F26" s="4"/>
    </row>
    <row r="27" spans="1:6" ht="30" x14ac:dyDescent="0.25">
      <c r="A27" s="4" t="s">
        <v>201</v>
      </c>
      <c r="B27" s="4" t="s">
        <v>202</v>
      </c>
      <c r="C27" s="4" t="s">
        <v>154</v>
      </c>
      <c r="D27" s="4" t="s">
        <v>190</v>
      </c>
      <c r="E27" s="4" t="s">
        <v>145</v>
      </c>
      <c r="F27" s="4"/>
    </row>
    <row r="28" spans="1:6" ht="30" x14ac:dyDescent="0.25">
      <c r="A28" s="4" t="s">
        <v>203</v>
      </c>
      <c r="B28" s="4" t="s">
        <v>204</v>
      </c>
      <c r="C28" s="4" t="s">
        <v>154</v>
      </c>
      <c r="D28" s="4" t="s">
        <v>190</v>
      </c>
      <c r="E28" s="4" t="s">
        <v>145</v>
      </c>
      <c r="F28" s="4"/>
    </row>
    <row r="29" spans="1:6" ht="30" x14ac:dyDescent="0.25">
      <c r="A29" s="4" t="s">
        <v>205</v>
      </c>
      <c r="B29" s="4" t="s">
        <v>206</v>
      </c>
      <c r="C29" s="4" t="s">
        <v>154</v>
      </c>
      <c r="D29" s="4" t="s">
        <v>190</v>
      </c>
      <c r="E29" s="4" t="s">
        <v>145</v>
      </c>
      <c r="F29" s="4"/>
    </row>
    <row r="30" spans="1:6" ht="30" x14ac:dyDescent="0.25">
      <c r="A30" s="4" t="s">
        <v>207</v>
      </c>
      <c r="B30" s="4" t="s">
        <v>208</v>
      </c>
      <c r="C30" s="4" t="s">
        <v>154</v>
      </c>
      <c r="D30" s="4" t="s">
        <v>190</v>
      </c>
      <c r="E30" s="4" t="s">
        <v>145</v>
      </c>
      <c r="F30" s="4"/>
    </row>
    <row r="31" spans="1:6" ht="30" x14ac:dyDescent="0.25">
      <c r="A31" s="4" t="s">
        <v>209</v>
      </c>
      <c r="B31" s="4" t="s">
        <v>210</v>
      </c>
      <c r="C31" s="4" t="s">
        <v>154</v>
      </c>
      <c r="D31" s="4" t="s">
        <v>169</v>
      </c>
      <c r="E31" s="4" t="s">
        <v>145</v>
      </c>
      <c r="F31" s="4"/>
    </row>
    <row r="32" spans="1:6" ht="45" x14ac:dyDescent="0.25">
      <c r="A32" s="4" t="s">
        <v>211</v>
      </c>
      <c r="B32" s="4" t="s">
        <v>211</v>
      </c>
      <c r="C32" s="4" t="s">
        <v>154</v>
      </c>
      <c r="D32" s="4" t="s">
        <v>158</v>
      </c>
      <c r="E32" s="4" t="s">
        <v>145</v>
      </c>
      <c r="F32" s="4"/>
    </row>
    <row r="33" spans="1:6" ht="30" x14ac:dyDescent="0.25">
      <c r="A33" s="4" t="s">
        <v>212</v>
      </c>
      <c r="B33" s="4" t="s">
        <v>213</v>
      </c>
      <c r="C33" s="4" t="s">
        <v>154</v>
      </c>
      <c r="D33" s="4" t="s">
        <v>164</v>
      </c>
      <c r="E33" s="4" t="s">
        <v>145</v>
      </c>
      <c r="F33" s="4"/>
    </row>
    <row r="34" spans="1:6" ht="30" x14ac:dyDescent="0.25">
      <c r="A34" s="4" t="s">
        <v>214</v>
      </c>
      <c r="B34" s="4" t="s">
        <v>215</v>
      </c>
      <c r="C34" s="4" t="s">
        <v>154</v>
      </c>
      <c r="D34" s="4" t="s">
        <v>164</v>
      </c>
      <c r="E34" s="4" t="s">
        <v>145</v>
      </c>
      <c r="F34" s="4"/>
    </row>
    <row r="35" spans="1:6" ht="30" x14ac:dyDescent="0.25">
      <c r="A35" s="4" t="s">
        <v>216</v>
      </c>
      <c r="B35" s="4" t="s">
        <v>217</v>
      </c>
      <c r="C35" s="4" t="s">
        <v>154</v>
      </c>
      <c r="D35" s="4" t="s">
        <v>164</v>
      </c>
      <c r="E35" s="4" t="s">
        <v>145</v>
      </c>
      <c r="F35" s="4"/>
    </row>
    <row r="36" spans="1:6" ht="30" x14ac:dyDescent="0.25">
      <c r="A36" s="4" t="s">
        <v>218</v>
      </c>
      <c r="B36" s="4" t="s">
        <v>219</v>
      </c>
      <c r="C36" s="4" t="s">
        <v>154</v>
      </c>
      <c r="D36" s="4" t="s">
        <v>164</v>
      </c>
      <c r="E36" s="4" t="s">
        <v>145</v>
      </c>
      <c r="F36" s="4"/>
    </row>
    <row r="37" spans="1:6" ht="30" x14ac:dyDescent="0.25">
      <c r="A37" s="4" t="s">
        <v>220</v>
      </c>
      <c r="B37" s="4" t="s">
        <v>221</v>
      </c>
      <c r="C37" s="4" t="s">
        <v>154</v>
      </c>
      <c r="D37" s="4" t="s">
        <v>164</v>
      </c>
      <c r="E37" s="4" t="s">
        <v>145</v>
      </c>
      <c r="F37" s="4"/>
    </row>
    <row r="38" spans="1:6" ht="30" x14ac:dyDescent="0.25">
      <c r="A38" s="4" t="s">
        <v>222</v>
      </c>
      <c r="B38" s="4" t="s">
        <v>223</v>
      </c>
      <c r="C38" s="4" t="s">
        <v>154</v>
      </c>
      <c r="D38" s="4" t="s">
        <v>190</v>
      </c>
      <c r="E38" s="4" t="s">
        <v>145</v>
      </c>
      <c r="F38" s="4" t="s">
        <v>223</v>
      </c>
    </row>
    <row r="39" spans="1:6" ht="30" x14ac:dyDescent="0.25">
      <c r="A39" s="4" t="s">
        <v>224</v>
      </c>
      <c r="B39" s="4" t="s">
        <v>225</v>
      </c>
      <c r="C39" s="4" t="s">
        <v>154</v>
      </c>
      <c r="D39" s="4" t="s">
        <v>190</v>
      </c>
      <c r="E39" s="4" t="s">
        <v>145</v>
      </c>
      <c r="F39" s="4" t="s">
        <v>225</v>
      </c>
    </row>
    <row r="40" spans="1:6" ht="30" x14ac:dyDescent="0.25">
      <c r="A40" s="4" t="s">
        <v>226</v>
      </c>
      <c r="B40" s="4" t="s">
        <v>227</v>
      </c>
      <c r="C40" s="4" t="s">
        <v>154</v>
      </c>
      <c r="D40" s="4" t="s">
        <v>178</v>
      </c>
      <c r="E40" s="4" t="s">
        <v>145</v>
      </c>
      <c r="F40" s="4"/>
    </row>
    <row r="41" spans="1:6" ht="30" x14ac:dyDescent="0.25">
      <c r="A41" s="4" t="s">
        <v>228</v>
      </c>
      <c r="B41" s="4" t="s">
        <v>229</v>
      </c>
      <c r="C41" s="4" t="s">
        <v>154</v>
      </c>
      <c r="D41" s="4" t="s">
        <v>178</v>
      </c>
      <c r="E41" s="4" t="s">
        <v>145</v>
      </c>
      <c r="F41" s="4"/>
    </row>
    <row r="42" spans="1:6" ht="45" x14ac:dyDescent="0.25">
      <c r="A42" s="4" t="s">
        <v>230</v>
      </c>
      <c r="B42" s="4" t="s">
        <v>231</v>
      </c>
      <c r="C42" s="4" t="s">
        <v>232</v>
      </c>
      <c r="D42" s="4" t="s">
        <v>233</v>
      </c>
      <c r="E42" s="4" t="s">
        <v>145</v>
      </c>
      <c r="F42" s="4"/>
    </row>
    <row r="43" spans="1:6" ht="75" x14ac:dyDescent="0.25">
      <c r="A43" s="4" t="s">
        <v>234</v>
      </c>
      <c r="B43" s="4" t="s">
        <v>235</v>
      </c>
      <c r="C43" s="4" t="s">
        <v>232</v>
      </c>
      <c r="D43" s="4" t="s">
        <v>233</v>
      </c>
      <c r="E43" s="4" t="s">
        <v>145</v>
      </c>
      <c r="F43" s="6" t="s">
        <v>236</v>
      </c>
    </row>
    <row r="44" spans="1:6" ht="45" x14ac:dyDescent="0.25">
      <c r="A44" s="6" t="s">
        <v>417</v>
      </c>
      <c r="B44" s="4" t="s">
        <v>237</v>
      </c>
      <c r="C44" s="4" t="s">
        <v>185</v>
      </c>
      <c r="D44" s="4" t="s">
        <v>238</v>
      </c>
      <c r="E44" s="4" t="s">
        <v>145</v>
      </c>
      <c r="F44" s="6" t="s">
        <v>239</v>
      </c>
    </row>
    <row r="45" spans="1:6" ht="45" x14ac:dyDescent="0.25">
      <c r="A45" s="6" t="s">
        <v>417</v>
      </c>
      <c r="B45" s="4" t="s">
        <v>240</v>
      </c>
      <c r="C45" s="4" t="s">
        <v>185</v>
      </c>
      <c r="D45" s="4" t="s">
        <v>238</v>
      </c>
      <c r="E45" s="4" t="s">
        <v>145</v>
      </c>
      <c r="F45" s="6" t="s">
        <v>239</v>
      </c>
    </row>
    <row r="46" spans="1:6" ht="45" x14ac:dyDescent="0.25">
      <c r="A46" s="6" t="s">
        <v>417</v>
      </c>
      <c r="B46" s="4" t="s">
        <v>241</v>
      </c>
      <c r="C46" s="4" t="s">
        <v>185</v>
      </c>
      <c r="D46" s="4" t="s">
        <v>238</v>
      </c>
      <c r="E46" s="4" t="s">
        <v>145</v>
      </c>
      <c r="F46" s="6" t="s">
        <v>239</v>
      </c>
    </row>
    <row r="47" spans="1:6" ht="45" x14ac:dyDescent="0.25">
      <c r="A47" s="6" t="s">
        <v>417</v>
      </c>
      <c r="B47" s="4" t="s">
        <v>242</v>
      </c>
      <c r="C47" s="4" t="s">
        <v>185</v>
      </c>
      <c r="D47" s="4" t="s">
        <v>238</v>
      </c>
      <c r="E47" s="4" t="s">
        <v>145</v>
      </c>
      <c r="F47" s="6" t="s">
        <v>239</v>
      </c>
    </row>
    <row r="48" spans="1:6" ht="45" x14ac:dyDescent="0.25">
      <c r="A48" s="6" t="s">
        <v>417</v>
      </c>
      <c r="B48" s="4" t="s">
        <v>243</v>
      </c>
      <c r="C48" s="4" t="s">
        <v>185</v>
      </c>
      <c r="D48" s="4" t="s">
        <v>238</v>
      </c>
      <c r="E48" s="4" t="s">
        <v>145</v>
      </c>
      <c r="F48" s="6" t="s">
        <v>239</v>
      </c>
    </row>
    <row r="49" spans="1:6" ht="45" x14ac:dyDescent="0.25">
      <c r="A49" s="6" t="s">
        <v>417</v>
      </c>
      <c r="B49" s="4" t="s">
        <v>244</v>
      </c>
      <c r="C49" s="4" t="s">
        <v>185</v>
      </c>
      <c r="D49" s="4" t="s">
        <v>238</v>
      </c>
      <c r="E49" s="4" t="s">
        <v>145</v>
      </c>
      <c r="F49" s="6" t="s">
        <v>239</v>
      </c>
    </row>
    <row r="50" spans="1:6" ht="45" x14ac:dyDescent="0.25">
      <c r="A50" s="4" t="s">
        <v>245</v>
      </c>
      <c r="B50" s="4" t="s">
        <v>246</v>
      </c>
      <c r="C50" s="4" t="s">
        <v>154</v>
      </c>
      <c r="D50" s="4" t="s">
        <v>247</v>
      </c>
      <c r="E50" s="4" t="s">
        <v>145</v>
      </c>
      <c r="F50" s="4"/>
    </row>
    <row r="51" spans="1:6" ht="45" x14ac:dyDescent="0.25">
      <c r="A51" s="4" t="s">
        <v>248</v>
      </c>
      <c r="B51" s="4" t="s">
        <v>249</v>
      </c>
      <c r="C51" s="4" t="s">
        <v>154</v>
      </c>
      <c r="D51" s="4" t="s">
        <v>247</v>
      </c>
      <c r="E51" s="4" t="s">
        <v>145</v>
      </c>
      <c r="F51" s="4"/>
    </row>
    <row r="52" spans="1:6" ht="45" x14ac:dyDescent="0.25">
      <c r="A52" s="4" t="s">
        <v>250</v>
      </c>
      <c r="B52" s="4" t="s">
        <v>251</v>
      </c>
      <c r="C52" s="4" t="s">
        <v>154</v>
      </c>
      <c r="D52" s="4" t="s">
        <v>247</v>
      </c>
      <c r="E52" s="4" t="s">
        <v>145</v>
      </c>
      <c r="F52" s="4"/>
    </row>
    <row r="53" spans="1:6" ht="30" x14ac:dyDescent="0.25">
      <c r="A53" s="4" t="s">
        <v>252</v>
      </c>
      <c r="B53" s="4" t="s">
        <v>253</v>
      </c>
      <c r="C53" s="4" t="s">
        <v>154</v>
      </c>
      <c r="D53" s="4" t="s">
        <v>254</v>
      </c>
      <c r="E53" s="4" t="s">
        <v>145</v>
      </c>
      <c r="F53" s="4"/>
    </row>
    <row r="54" spans="1:6" ht="30" x14ac:dyDescent="0.25">
      <c r="A54" s="4" t="s">
        <v>255</v>
      </c>
      <c r="B54" s="4" t="s">
        <v>256</v>
      </c>
      <c r="C54" s="4" t="s">
        <v>154</v>
      </c>
      <c r="D54" s="4" t="s">
        <v>254</v>
      </c>
      <c r="E54" s="4" t="s">
        <v>145</v>
      </c>
      <c r="F54" s="4"/>
    </row>
    <row r="55" spans="1:6" ht="30" x14ac:dyDescent="0.25">
      <c r="A55" s="4" t="s">
        <v>257</v>
      </c>
      <c r="B55" s="4" t="s">
        <v>258</v>
      </c>
      <c r="C55" s="4" t="s">
        <v>154</v>
      </c>
      <c r="D55" s="4" t="s">
        <v>254</v>
      </c>
      <c r="E55" s="4" t="s">
        <v>145</v>
      </c>
      <c r="F55" s="4"/>
    </row>
    <row r="56" spans="1:6" ht="30" x14ac:dyDescent="0.25">
      <c r="A56" s="4" t="s">
        <v>259</v>
      </c>
      <c r="B56" s="4" t="s">
        <v>260</v>
      </c>
      <c r="C56" s="4" t="s">
        <v>154</v>
      </c>
      <c r="D56" s="4" t="s">
        <v>254</v>
      </c>
      <c r="E56" s="4" t="s">
        <v>145</v>
      </c>
      <c r="F56" s="4"/>
    </row>
    <row r="57" spans="1:6" ht="30" x14ac:dyDescent="0.25">
      <c r="A57" s="4" t="s">
        <v>261</v>
      </c>
      <c r="B57" s="4" t="s">
        <v>262</v>
      </c>
      <c r="C57" s="4" t="s">
        <v>154</v>
      </c>
      <c r="D57" s="4" t="s">
        <v>254</v>
      </c>
      <c r="E57" s="4" t="s">
        <v>145</v>
      </c>
      <c r="F57" s="4"/>
    </row>
    <row r="58" spans="1:6" ht="30" x14ac:dyDescent="0.25">
      <c r="A58" s="4" t="s">
        <v>263</v>
      </c>
      <c r="B58" s="4" t="s">
        <v>264</v>
      </c>
      <c r="C58" s="4" t="s">
        <v>154</v>
      </c>
      <c r="D58" s="4" t="s">
        <v>254</v>
      </c>
      <c r="E58" s="4" t="s">
        <v>145</v>
      </c>
      <c r="F58" s="4"/>
    </row>
    <row r="59" spans="1:6" ht="30" x14ac:dyDescent="0.25">
      <c r="A59" s="4" t="s">
        <v>265</v>
      </c>
      <c r="B59" s="4" t="s">
        <v>266</v>
      </c>
      <c r="C59" s="4" t="s">
        <v>232</v>
      </c>
      <c r="D59" s="4" t="s">
        <v>267</v>
      </c>
      <c r="E59" s="4" t="s">
        <v>145</v>
      </c>
      <c r="F59" s="4"/>
    </row>
    <row r="60" spans="1:6" ht="30" x14ac:dyDescent="0.25">
      <c r="A60" s="4" t="s">
        <v>268</v>
      </c>
      <c r="B60" s="4" t="s">
        <v>269</v>
      </c>
      <c r="C60" s="4" t="s">
        <v>232</v>
      </c>
      <c r="D60" s="4" t="s">
        <v>267</v>
      </c>
      <c r="E60" s="4" t="s">
        <v>145</v>
      </c>
      <c r="F60" s="4"/>
    </row>
    <row r="61" spans="1:6" ht="30" x14ac:dyDescent="0.25">
      <c r="A61" s="4" t="s">
        <v>270</v>
      </c>
      <c r="B61" s="4" t="s">
        <v>270</v>
      </c>
      <c r="C61" s="4" t="s">
        <v>232</v>
      </c>
      <c r="D61" s="4" t="s">
        <v>267</v>
      </c>
      <c r="E61" s="4" t="s">
        <v>145</v>
      </c>
      <c r="F61" s="4"/>
    </row>
    <row r="62" spans="1:6" ht="45" x14ac:dyDescent="0.25">
      <c r="A62" s="4" t="s">
        <v>271</v>
      </c>
      <c r="B62" s="4" t="s">
        <v>272</v>
      </c>
      <c r="C62" s="4" t="s">
        <v>232</v>
      </c>
      <c r="D62" s="4" t="s">
        <v>273</v>
      </c>
      <c r="E62" s="4" t="s">
        <v>145</v>
      </c>
      <c r="F62" s="4"/>
    </row>
    <row r="63" spans="1:6" ht="45" x14ac:dyDescent="0.25">
      <c r="A63" s="4" t="s">
        <v>274</v>
      </c>
      <c r="B63" s="4" t="s">
        <v>275</v>
      </c>
      <c r="C63" s="4" t="s">
        <v>232</v>
      </c>
      <c r="D63" s="4" t="s">
        <v>273</v>
      </c>
      <c r="E63" s="4" t="s">
        <v>145</v>
      </c>
      <c r="F63" s="4"/>
    </row>
    <row r="64" spans="1:6" ht="45" x14ac:dyDescent="0.25">
      <c r="A64" s="4" t="s">
        <v>276</v>
      </c>
      <c r="B64" s="4" t="s">
        <v>277</v>
      </c>
      <c r="C64" s="4" t="s">
        <v>232</v>
      </c>
      <c r="D64" s="4" t="s">
        <v>273</v>
      </c>
      <c r="E64" s="4" t="s">
        <v>145</v>
      </c>
      <c r="F64" s="4"/>
    </row>
    <row r="65" spans="1:6" ht="45" x14ac:dyDescent="0.25">
      <c r="A65" s="6" t="s">
        <v>278</v>
      </c>
      <c r="B65" s="4" t="s">
        <v>279</v>
      </c>
      <c r="C65" s="4" t="s">
        <v>280</v>
      </c>
      <c r="D65" s="4" t="s">
        <v>281</v>
      </c>
      <c r="E65" s="4" t="s">
        <v>145</v>
      </c>
      <c r="F65" s="6" t="s">
        <v>239</v>
      </c>
    </row>
    <row r="66" spans="1:6" ht="45" x14ac:dyDescent="0.25">
      <c r="A66" s="6" t="s">
        <v>278</v>
      </c>
      <c r="B66" s="4" t="s">
        <v>282</v>
      </c>
      <c r="C66" s="4" t="s">
        <v>280</v>
      </c>
      <c r="D66" s="4" t="s">
        <v>281</v>
      </c>
      <c r="E66" s="4" t="s">
        <v>145</v>
      </c>
      <c r="F66" s="6" t="s">
        <v>239</v>
      </c>
    </row>
    <row r="67" spans="1:6" ht="45" x14ac:dyDescent="0.25">
      <c r="A67" s="6" t="s">
        <v>449</v>
      </c>
      <c r="B67" s="4" t="s">
        <v>283</v>
      </c>
      <c r="C67" s="4" t="s">
        <v>284</v>
      </c>
      <c r="D67" s="4" t="s">
        <v>285</v>
      </c>
      <c r="E67" s="4" t="s">
        <v>145</v>
      </c>
      <c r="F67" s="6" t="s">
        <v>239</v>
      </c>
    </row>
    <row r="68" spans="1:6" ht="45" x14ac:dyDescent="0.25">
      <c r="A68" s="6" t="s">
        <v>449</v>
      </c>
      <c r="B68" s="4" t="s">
        <v>286</v>
      </c>
      <c r="C68" s="4" t="s">
        <v>284</v>
      </c>
      <c r="D68" s="4" t="s">
        <v>287</v>
      </c>
      <c r="E68" s="4" t="s">
        <v>145</v>
      </c>
      <c r="F68" s="6" t="s">
        <v>239</v>
      </c>
    </row>
    <row r="69" spans="1:6" ht="45" x14ac:dyDescent="0.25">
      <c r="A69" s="6" t="s">
        <v>449</v>
      </c>
      <c r="B69" s="4" t="s">
        <v>288</v>
      </c>
      <c r="C69" s="4" t="s">
        <v>284</v>
      </c>
      <c r="D69" s="4" t="s">
        <v>287</v>
      </c>
      <c r="E69" s="4" t="s">
        <v>145</v>
      </c>
      <c r="F69" s="6" t="s">
        <v>239</v>
      </c>
    </row>
    <row r="70" spans="1:6" ht="45" x14ac:dyDescent="0.25">
      <c r="A70" s="4" t="s">
        <v>448</v>
      </c>
      <c r="B70" s="4" t="s">
        <v>289</v>
      </c>
      <c r="C70" s="4" t="s">
        <v>284</v>
      </c>
      <c r="D70" s="4" t="s">
        <v>290</v>
      </c>
      <c r="E70" s="4" t="s">
        <v>145</v>
      </c>
      <c r="F70" s="4"/>
    </row>
    <row r="71" spans="1:6" ht="45" x14ac:dyDescent="0.25">
      <c r="A71" s="4" t="s">
        <v>447</v>
      </c>
      <c r="B71" s="4" t="s">
        <v>291</v>
      </c>
      <c r="C71" s="4" t="s">
        <v>284</v>
      </c>
      <c r="D71" s="4" t="s">
        <v>292</v>
      </c>
      <c r="E71" s="4" t="s">
        <v>145</v>
      </c>
      <c r="F71" s="4"/>
    </row>
    <row r="72" spans="1:6" ht="60" x14ac:dyDescent="0.25">
      <c r="A72" s="6" t="s">
        <v>446</v>
      </c>
      <c r="B72" s="4" t="s">
        <v>293</v>
      </c>
      <c r="C72" s="4" t="s">
        <v>284</v>
      </c>
      <c r="D72" s="4" t="s">
        <v>294</v>
      </c>
      <c r="E72" s="4" t="s">
        <v>145</v>
      </c>
      <c r="F72" s="6" t="s">
        <v>239</v>
      </c>
    </row>
    <row r="73" spans="1:6" ht="45" x14ac:dyDescent="0.25">
      <c r="A73" s="6" t="s">
        <v>446</v>
      </c>
      <c r="B73" s="4" t="s">
        <v>295</v>
      </c>
      <c r="C73" s="4" t="s">
        <v>284</v>
      </c>
      <c r="D73" s="4" t="s">
        <v>296</v>
      </c>
      <c r="E73" s="4" t="s">
        <v>145</v>
      </c>
      <c r="F73" s="6" t="s">
        <v>239</v>
      </c>
    </row>
    <row r="74" spans="1:6" ht="45" x14ac:dyDescent="0.25">
      <c r="A74" s="6" t="s">
        <v>446</v>
      </c>
      <c r="B74" s="4" t="s">
        <v>297</v>
      </c>
      <c r="C74" s="4" t="s">
        <v>284</v>
      </c>
      <c r="D74" s="4" t="s">
        <v>296</v>
      </c>
      <c r="E74" s="4" t="s">
        <v>145</v>
      </c>
      <c r="F74" s="6" t="s">
        <v>239</v>
      </c>
    </row>
    <row r="75" spans="1:6" ht="45" x14ac:dyDescent="0.25">
      <c r="A75" s="4" t="s">
        <v>445</v>
      </c>
      <c r="B75" s="4" t="s">
        <v>298</v>
      </c>
      <c r="C75" s="4" t="s">
        <v>284</v>
      </c>
      <c r="D75" s="4" t="s">
        <v>299</v>
      </c>
      <c r="E75" s="4" t="s">
        <v>145</v>
      </c>
      <c r="F75" s="4"/>
    </row>
    <row r="76" spans="1:6" ht="30" x14ac:dyDescent="0.25">
      <c r="A76" s="4" t="s">
        <v>418</v>
      </c>
      <c r="B76" s="4" t="s">
        <v>300</v>
      </c>
      <c r="C76" s="4" t="s">
        <v>284</v>
      </c>
      <c r="D76" s="4" t="s">
        <v>301</v>
      </c>
      <c r="E76" s="4" t="s">
        <v>145</v>
      </c>
      <c r="F76" s="4"/>
    </row>
    <row r="77" spans="1:6" ht="30" x14ac:dyDescent="0.25">
      <c r="A77" s="4" t="s">
        <v>444</v>
      </c>
      <c r="B77" s="4" t="s">
        <v>302</v>
      </c>
      <c r="C77" s="4" t="s">
        <v>303</v>
      </c>
      <c r="D77" s="4" t="s">
        <v>304</v>
      </c>
      <c r="E77" s="4" t="s">
        <v>145</v>
      </c>
      <c r="F77" s="4"/>
    </row>
    <row r="78" spans="1:6" ht="45" x14ac:dyDescent="0.25">
      <c r="A78" s="6" t="s">
        <v>419</v>
      </c>
      <c r="B78" s="4" t="s">
        <v>305</v>
      </c>
      <c r="C78" s="4" t="s">
        <v>303</v>
      </c>
      <c r="D78" s="4" t="s">
        <v>304</v>
      </c>
      <c r="E78" s="4" t="s">
        <v>145</v>
      </c>
      <c r="F78" s="6" t="s">
        <v>239</v>
      </c>
    </row>
    <row r="79" spans="1:6" ht="45" x14ac:dyDescent="0.25">
      <c r="A79" s="6" t="s">
        <v>419</v>
      </c>
      <c r="B79" s="4" t="s">
        <v>306</v>
      </c>
      <c r="C79" s="4" t="s">
        <v>303</v>
      </c>
      <c r="D79" s="4" t="s">
        <v>304</v>
      </c>
      <c r="E79" s="4" t="s">
        <v>145</v>
      </c>
      <c r="F79" s="6" t="s">
        <v>239</v>
      </c>
    </row>
    <row r="80" spans="1:6" ht="45" x14ac:dyDescent="0.25">
      <c r="A80" s="6" t="s">
        <v>419</v>
      </c>
      <c r="B80" s="4" t="s">
        <v>307</v>
      </c>
      <c r="C80" s="4" t="s">
        <v>303</v>
      </c>
      <c r="D80" s="4" t="s">
        <v>304</v>
      </c>
      <c r="E80" s="4" t="s">
        <v>145</v>
      </c>
      <c r="F80" s="6" t="s">
        <v>239</v>
      </c>
    </row>
    <row r="81" spans="1:6" ht="45" x14ac:dyDescent="0.25">
      <c r="A81" s="6" t="s">
        <v>419</v>
      </c>
      <c r="B81" s="4" t="s">
        <v>308</v>
      </c>
      <c r="C81" s="4" t="s">
        <v>303</v>
      </c>
      <c r="D81" s="4" t="s">
        <v>304</v>
      </c>
      <c r="E81" s="4" t="s">
        <v>145</v>
      </c>
      <c r="F81" s="6" t="s">
        <v>239</v>
      </c>
    </row>
    <row r="82" spans="1:6" ht="45" x14ac:dyDescent="0.25">
      <c r="A82" s="6" t="s">
        <v>419</v>
      </c>
      <c r="B82" s="4" t="s">
        <v>309</v>
      </c>
      <c r="C82" s="4" t="s">
        <v>303</v>
      </c>
      <c r="D82" s="4" t="s">
        <v>304</v>
      </c>
      <c r="E82" s="4" t="s">
        <v>145</v>
      </c>
      <c r="F82" s="6" t="s">
        <v>239</v>
      </c>
    </row>
    <row r="83" spans="1:6" ht="45" x14ac:dyDescent="0.25">
      <c r="A83" s="6" t="s">
        <v>419</v>
      </c>
      <c r="B83" s="4" t="s">
        <v>310</v>
      </c>
      <c r="C83" s="4" t="s">
        <v>303</v>
      </c>
      <c r="D83" s="4" t="s">
        <v>304</v>
      </c>
      <c r="E83" s="4" t="s">
        <v>145</v>
      </c>
      <c r="F83" s="6" t="s">
        <v>239</v>
      </c>
    </row>
    <row r="84" spans="1:6" ht="45" x14ac:dyDescent="0.25">
      <c r="A84" s="6" t="s">
        <v>420</v>
      </c>
      <c r="B84" s="4" t="s">
        <v>311</v>
      </c>
      <c r="C84" s="4" t="s">
        <v>303</v>
      </c>
      <c r="D84" s="4" t="s">
        <v>304</v>
      </c>
      <c r="E84" s="4" t="s">
        <v>145</v>
      </c>
      <c r="F84" s="6" t="s">
        <v>239</v>
      </c>
    </row>
    <row r="85" spans="1:6" ht="45" x14ac:dyDescent="0.25">
      <c r="A85" s="6" t="s">
        <v>421</v>
      </c>
      <c r="B85" s="4" t="s">
        <v>312</v>
      </c>
      <c r="C85" s="4" t="s">
        <v>303</v>
      </c>
      <c r="D85" s="4" t="s">
        <v>304</v>
      </c>
      <c r="E85" s="4" t="s">
        <v>145</v>
      </c>
      <c r="F85" s="6" t="s">
        <v>239</v>
      </c>
    </row>
    <row r="86" spans="1:6" ht="45" x14ac:dyDescent="0.25">
      <c r="A86" s="6" t="s">
        <v>422</v>
      </c>
      <c r="B86" s="4" t="s">
        <v>313</v>
      </c>
      <c r="C86" s="4" t="s">
        <v>303</v>
      </c>
      <c r="D86" s="4" t="s">
        <v>304</v>
      </c>
      <c r="E86" s="4" t="s">
        <v>145</v>
      </c>
      <c r="F86" s="6" t="s">
        <v>239</v>
      </c>
    </row>
    <row r="87" spans="1:6" ht="30" x14ac:dyDescent="0.25">
      <c r="A87" s="4" t="s">
        <v>314</v>
      </c>
      <c r="B87" s="4" t="s">
        <v>315</v>
      </c>
      <c r="C87" s="4" t="s">
        <v>280</v>
      </c>
      <c r="D87" s="4" t="s">
        <v>315</v>
      </c>
      <c r="E87" s="4" t="s">
        <v>145</v>
      </c>
      <c r="F87" s="4"/>
    </row>
    <row r="88" spans="1:6" ht="45" x14ac:dyDescent="0.25">
      <c r="A88" s="4" t="s">
        <v>316</v>
      </c>
      <c r="B88" s="4" t="s">
        <v>317</v>
      </c>
      <c r="C88" s="4" t="s">
        <v>280</v>
      </c>
      <c r="D88" s="4" t="s">
        <v>318</v>
      </c>
      <c r="E88" s="4" t="s">
        <v>145</v>
      </c>
      <c r="F88" s="4"/>
    </row>
    <row r="89" spans="1:6" ht="60" x14ac:dyDescent="0.25">
      <c r="A89" s="4" t="s">
        <v>319</v>
      </c>
      <c r="B89" s="4" t="s">
        <v>320</v>
      </c>
      <c r="C89" s="4" t="s">
        <v>280</v>
      </c>
      <c r="D89" s="4" t="s">
        <v>320</v>
      </c>
      <c r="E89" s="4" t="s">
        <v>145</v>
      </c>
      <c r="F89" s="4"/>
    </row>
    <row r="90" spans="1:6" ht="45" x14ac:dyDescent="0.25">
      <c r="A90" s="4" t="s">
        <v>443</v>
      </c>
      <c r="B90" s="4" t="s">
        <v>321</v>
      </c>
      <c r="C90" s="4" t="s">
        <v>280</v>
      </c>
      <c r="D90" s="4" t="s">
        <v>321</v>
      </c>
      <c r="E90" s="4" t="s">
        <v>145</v>
      </c>
      <c r="F90" s="4"/>
    </row>
    <row r="91" spans="1:6" ht="45" x14ac:dyDescent="0.25">
      <c r="A91" s="4" t="s">
        <v>442</v>
      </c>
      <c r="B91" s="4" t="s">
        <v>322</v>
      </c>
      <c r="C91" s="4" t="s">
        <v>284</v>
      </c>
      <c r="D91" s="4" t="s">
        <v>323</v>
      </c>
      <c r="E91" s="4" t="s">
        <v>145</v>
      </c>
      <c r="F91" s="4"/>
    </row>
    <row r="92" spans="1:6" ht="45" x14ac:dyDescent="0.25">
      <c r="A92" s="6" t="s">
        <v>441</v>
      </c>
      <c r="B92" s="4" t="s">
        <v>324</v>
      </c>
      <c r="C92" s="4" t="s">
        <v>284</v>
      </c>
      <c r="D92" s="4" t="s">
        <v>325</v>
      </c>
      <c r="E92" s="4" t="s">
        <v>145</v>
      </c>
      <c r="F92" s="6" t="s">
        <v>239</v>
      </c>
    </row>
    <row r="93" spans="1:6" ht="45" x14ac:dyDescent="0.25">
      <c r="A93" s="6" t="s">
        <v>441</v>
      </c>
      <c r="B93" s="4" t="s">
        <v>326</v>
      </c>
      <c r="C93" s="4" t="s">
        <v>284</v>
      </c>
      <c r="D93" s="4" t="s">
        <v>325</v>
      </c>
      <c r="E93" s="4" t="s">
        <v>145</v>
      </c>
      <c r="F93" s="6" t="s">
        <v>239</v>
      </c>
    </row>
    <row r="94" spans="1:6" ht="45" x14ac:dyDescent="0.25">
      <c r="A94" s="6" t="s">
        <v>441</v>
      </c>
      <c r="B94" s="4" t="s">
        <v>327</v>
      </c>
      <c r="C94" s="4" t="s">
        <v>284</v>
      </c>
      <c r="D94" s="4" t="s">
        <v>328</v>
      </c>
      <c r="E94" s="4" t="s">
        <v>145</v>
      </c>
      <c r="F94" s="6" t="s">
        <v>239</v>
      </c>
    </row>
    <row r="95" spans="1:6" ht="45" x14ac:dyDescent="0.25">
      <c r="A95" s="6" t="s">
        <v>441</v>
      </c>
      <c r="B95" s="4" t="s">
        <v>329</v>
      </c>
      <c r="C95" s="4" t="s">
        <v>284</v>
      </c>
      <c r="D95" s="4" t="s">
        <v>328</v>
      </c>
      <c r="E95" s="4" t="s">
        <v>145</v>
      </c>
      <c r="F95" s="6" t="s">
        <v>239</v>
      </c>
    </row>
    <row r="96" spans="1:6" ht="45" x14ac:dyDescent="0.25">
      <c r="A96" s="6" t="s">
        <v>440</v>
      </c>
      <c r="B96" s="4" t="s">
        <v>330</v>
      </c>
      <c r="C96" s="4" t="s">
        <v>331</v>
      </c>
      <c r="D96" s="4" t="s">
        <v>332</v>
      </c>
      <c r="E96" s="4" t="s">
        <v>145</v>
      </c>
      <c r="F96" s="6" t="s">
        <v>239</v>
      </c>
    </row>
    <row r="97" spans="1:6" ht="45" x14ac:dyDescent="0.25">
      <c r="A97" s="6" t="s">
        <v>440</v>
      </c>
      <c r="B97" s="4" t="s">
        <v>333</v>
      </c>
      <c r="C97" s="4" t="s">
        <v>331</v>
      </c>
      <c r="D97" s="4" t="s">
        <v>332</v>
      </c>
      <c r="E97" s="4" t="s">
        <v>145</v>
      </c>
      <c r="F97" s="6" t="s">
        <v>239</v>
      </c>
    </row>
    <row r="98" spans="1:6" ht="45" x14ac:dyDescent="0.25">
      <c r="A98" s="6" t="s">
        <v>440</v>
      </c>
      <c r="B98" s="4" t="s">
        <v>334</v>
      </c>
      <c r="C98" s="4" t="s">
        <v>331</v>
      </c>
      <c r="D98" s="4" t="s">
        <v>335</v>
      </c>
      <c r="E98" s="4" t="s">
        <v>145</v>
      </c>
      <c r="F98" s="6" t="s">
        <v>239</v>
      </c>
    </row>
    <row r="99" spans="1:6" ht="45" x14ac:dyDescent="0.25">
      <c r="A99" s="4" t="s">
        <v>439</v>
      </c>
      <c r="B99" s="4" t="s">
        <v>336</v>
      </c>
      <c r="C99" s="4" t="s">
        <v>331</v>
      </c>
      <c r="D99" s="4" t="s">
        <v>337</v>
      </c>
      <c r="E99" s="4" t="s">
        <v>145</v>
      </c>
      <c r="F99" s="4"/>
    </row>
    <row r="100" spans="1:6" ht="45" x14ac:dyDescent="0.25">
      <c r="A100" s="4" t="s">
        <v>438</v>
      </c>
      <c r="B100" s="4" t="s">
        <v>338</v>
      </c>
      <c r="C100" s="4" t="s">
        <v>331</v>
      </c>
      <c r="D100" s="4" t="s">
        <v>337</v>
      </c>
      <c r="E100" s="4" t="s">
        <v>145</v>
      </c>
      <c r="F100" s="4"/>
    </row>
    <row r="101" spans="1:6" ht="45" x14ac:dyDescent="0.25">
      <c r="A101" s="6" t="s">
        <v>423</v>
      </c>
      <c r="B101" s="4" t="s">
        <v>339</v>
      </c>
      <c r="C101" s="4" t="s">
        <v>331</v>
      </c>
      <c r="D101" s="4" t="s">
        <v>323</v>
      </c>
      <c r="E101" s="4" t="s">
        <v>145</v>
      </c>
      <c r="F101" s="6" t="s">
        <v>239</v>
      </c>
    </row>
    <row r="102" spans="1:6" ht="45" x14ac:dyDescent="0.25">
      <c r="A102" s="6" t="s">
        <v>423</v>
      </c>
      <c r="B102" s="4" t="s">
        <v>340</v>
      </c>
      <c r="C102" s="4" t="s">
        <v>331</v>
      </c>
      <c r="D102" s="4" t="s">
        <v>341</v>
      </c>
      <c r="E102" s="4" t="s">
        <v>145</v>
      </c>
      <c r="F102" s="6" t="s">
        <v>239</v>
      </c>
    </row>
    <row r="103" spans="1:6" ht="45" x14ac:dyDescent="0.25">
      <c r="A103" s="6" t="s">
        <v>423</v>
      </c>
      <c r="B103" s="4" t="s">
        <v>342</v>
      </c>
      <c r="C103" s="4" t="s">
        <v>331</v>
      </c>
      <c r="D103" s="4" t="s">
        <v>341</v>
      </c>
      <c r="E103" s="4" t="s">
        <v>145</v>
      </c>
      <c r="F103" s="6" t="s">
        <v>239</v>
      </c>
    </row>
    <row r="104" spans="1:6" ht="30" x14ac:dyDescent="0.25">
      <c r="A104" s="4" t="s">
        <v>425</v>
      </c>
      <c r="B104" s="4" t="s">
        <v>343</v>
      </c>
      <c r="C104" s="4" t="s">
        <v>331</v>
      </c>
      <c r="D104" s="4" t="s">
        <v>344</v>
      </c>
      <c r="E104" s="4" t="s">
        <v>145</v>
      </c>
      <c r="F104" s="4"/>
    </row>
    <row r="105" spans="1:6" ht="30" x14ac:dyDescent="0.25">
      <c r="A105" s="4" t="s">
        <v>345</v>
      </c>
      <c r="B105" s="4" t="s">
        <v>345</v>
      </c>
      <c r="C105" s="4" t="s">
        <v>331</v>
      </c>
      <c r="D105" s="4" t="s">
        <v>346</v>
      </c>
      <c r="E105" s="4" t="s">
        <v>145</v>
      </c>
      <c r="F105" s="4"/>
    </row>
    <row r="106" spans="1:6" ht="30" x14ac:dyDescent="0.25">
      <c r="A106" s="4" t="s">
        <v>347</v>
      </c>
      <c r="B106" s="4" t="s">
        <v>347</v>
      </c>
      <c r="C106" s="4" t="s">
        <v>331</v>
      </c>
      <c r="D106" s="4" t="s">
        <v>348</v>
      </c>
      <c r="E106" s="4" t="s">
        <v>145</v>
      </c>
      <c r="F106" s="4"/>
    </row>
    <row r="107" spans="1:6" ht="45" x14ac:dyDescent="0.25">
      <c r="A107" s="6" t="s">
        <v>424</v>
      </c>
      <c r="B107" s="4" t="s">
        <v>349</v>
      </c>
      <c r="C107" s="4" t="s">
        <v>331</v>
      </c>
      <c r="D107" s="4" t="s">
        <v>350</v>
      </c>
      <c r="E107" s="4" t="s">
        <v>145</v>
      </c>
      <c r="F107" s="6" t="s">
        <v>239</v>
      </c>
    </row>
    <row r="108" spans="1:6" ht="45" x14ac:dyDescent="0.25">
      <c r="A108" s="6" t="s">
        <v>424</v>
      </c>
      <c r="B108" s="4" t="s">
        <v>351</v>
      </c>
      <c r="C108" s="4" t="s">
        <v>331</v>
      </c>
      <c r="D108" s="4" t="s">
        <v>352</v>
      </c>
      <c r="E108" s="4" t="s">
        <v>145</v>
      </c>
      <c r="F108" s="6" t="s">
        <v>239</v>
      </c>
    </row>
    <row r="109" spans="1:6" ht="45" x14ac:dyDescent="0.25">
      <c r="A109" s="6" t="s">
        <v>426</v>
      </c>
      <c r="B109" s="4" t="s">
        <v>353</v>
      </c>
      <c r="C109" s="4" t="s">
        <v>354</v>
      </c>
      <c r="D109" s="4" t="s">
        <v>285</v>
      </c>
      <c r="E109" s="4" t="s">
        <v>145</v>
      </c>
      <c r="F109" s="6" t="s">
        <v>239</v>
      </c>
    </row>
    <row r="110" spans="1:6" ht="45" x14ac:dyDescent="0.25">
      <c r="A110" s="6" t="s">
        <v>426</v>
      </c>
      <c r="B110" s="4" t="s">
        <v>355</v>
      </c>
      <c r="C110" s="4" t="s">
        <v>354</v>
      </c>
      <c r="D110" s="4" t="s">
        <v>287</v>
      </c>
      <c r="E110" s="4" t="s">
        <v>145</v>
      </c>
      <c r="F110" s="6" t="s">
        <v>239</v>
      </c>
    </row>
    <row r="111" spans="1:6" ht="45" x14ac:dyDescent="0.25">
      <c r="A111" s="6" t="s">
        <v>426</v>
      </c>
      <c r="B111" s="4" t="s">
        <v>356</v>
      </c>
      <c r="C111" s="4" t="s">
        <v>354</v>
      </c>
      <c r="D111" s="4" t="s">
        <v>287</v>
      </c>
      <c r="E111" s="4" t="s">
        <v>145</v>
      </c>
      <c r="F111" s="6" t="s">
        <v>239</v>
      </c>
    </row>
    <row r="112" spans="1:6" ht="45" x14ac:dyDescent="0.25">
      <c r="A112" s="4" t="s">
        <v>427</v>
      </c>
      <c r="B112" s="4" t="s">
        <v>357</v>
      </c>
      <c r="C112" s="4" t="s">
        <v>354</v>
      </c>
      <c r="D112" s="4" t="s">
        <v>358</v>
      </c>
      <c r="E112" s="4" t="s">
        <v>145</v>
      </c>
      <c r="F112" s="4"/>
    </row>
    <row r="113" spans="1:6" ht="45" x14ac:dyDescent="0.25">
      <c r="A113" s="4" t="s">
        <v>428</v>
      </c>
      <c r="B113" s="4" t="s">
        <v>359</v>
      </c>
      <c r="C113" s="4" t="s">
        <v>354</v>
      </c>
      <c r="D113" s="4" t="s">
        <v>292</v>
      </c>
      <c r="E113" s="4" t="s">
        <v>145</v>
      </c>
      <c r="F113" s="4"/>
    </row>
    <row r="114" spans="1:6" ht="60" x14ac:dyDescent="0.25">
      <c r="A114" s="6" t="s">
        <v>429</v>
      </c>
      <c r="B114" s="4" t="s">
        <v>360</v>
      </c>
      <c r="C114" s="4" t="s">
        <v>354</v>
      </c>
      <c r="D114" s="4" t="s">
        <v>294</v>
      </c>
      <c r="E114" s="4" t="s">
        <v>145</v>
      </c>
      <c r="F114" s="6" t="s">
        <v>239</v>
      </c>
    </row>
    <row r="115" spans="1:6" ht="45" x14ac:dyDescent="0.25">
      <c r="A115" s="6" t="s">
        <v>429</v>
      </c>
      <c r="B115" s="4" t="s">
        <v>361</v>
      </c>
      <c r="C115" s="4" t="s">
        <v>354</v>
      </c>
      <c r="D115" s="4" t="s">
        <v>296</v>
      </c>
      <c r="E115" s="4" t="s">
        <v>145</v>
      </c>
      <c r="F115" s="6" t="s">
        <v>239</v>
      </c>
    </row>
    <row r="116" spans="1:6" ht="45" x14ac:dyDescent="0.25">
      <c r="A116" s="6" t="s">
        <v>429</v>
      </c>
      <c r="B116" s="4" t="s">
        <v>362</v>
      </c>
      <c r="C116" s="4" t="s">
        <v>354</v>
      </c>
      <c r="D116" s="4" t="s">
        <v>296</v>
      </c>
      <c r="E116" s="4" t="s">
        <v>145</v>
      </c>
      <c r="F116" s="6" t="s">
        <v>239</v>
      </c>
    </row>
    <row r="117" spans="1:6" ht="45" x14ac:dyDescent="0.25">
      <c r="A117" s="4" t="s">
        <v>430</v>
      </c>
      <c r="B117" s="4" t="s">
        <v>363</v>
      </c>
      <c r="C117" s="4" t="s">
        <v>354</v>
      </c>
      <c r="D117" s="4" t="s">
        <v>299</v>
      </c>
      <c r="E117" s="4" t="s">
        <v>145</v>
      </c>
      <c r="F117" s="4"/>
    </row>
    <row r="118" spans="1:6" ht="30" x14ac:dyDescent="0.25">
      <c r="A118" s="4" t="s">
        <v>431</v>
      </c>
      <c r="B118" s="4" t="s">
        <v>364</v>
      </c>
      <c r="C118" s="4" t="s">
        <v>354</v>
      </c>
      <c r="D118" s="4" t="s">
        <v>301</v>
      </c>
      <c r="E118" s="4" t="s">
        <v>145</v>
      </c>
      <c r="F118" s="4"/>
    </row>
    <row r="119" spans="1:6" ht="45" x14ac:dyDescent="0.25">
      <c r="A119" s="6" t="s">
        <v>432</v>
      </c>
      <c r="B119" s="4" t="s">
        <v>365</v>
      </c>
      <c r="C119" s="4" t="s">
        <v>354</v>
      </c>
      <c r="D119" s="4" t="s">
        <v>325</v>
      </c>
      <c r="E119" s="4" t="s">
        <v>145</v>
      </c>
      <c r="F119" s="6" t="s">
        <v>239</v>
      </c>
    </row>
    <row r="120" spans="1:6" ht="45" x14ac:dyDescent="0.25">
      <c r="A120" s="6" t="s">
        <v>432</v>
      </c>
      <c r="B120" s="4" t="s">
        <v>366</v>
      </c>
      <c r="C120" s="4" t="s">
        <v>354</v>
      </c>
      <c r="D120" s="4" t="s">
        <v>325</v>
      </c>
      <c r="E120" s="4" t="s">
        <v>145</v>
      </c>
      <c r="F120" s="6" t="s">
        <v>239</v>
      </c>
    </row>
    <row r="121" spans="1:6" ht="45" x14ac:dyDescent="0.25">
      <c r="A121" s="6" t="s">
        <v>432</v>
      </c>
      <c r="B121" s="4" t="s">
        <v>367</v>
      </c>
      <c r="C121" s="4" t="s">
        <v>354</v>
      </c>
      <c r="D121" s="4" t="s">
        <v>328</v>
      </c>
      <c r="E121" s="4" t="s">
        <v>145</v>
      </c>
      <c r="F121" s="6" t="s">
        <v>239</v>
      </c>
    </row>
    <row r="122" spans="1:6" ht="45" x14ac:dyDescent="0.25">
      <c r="A122" s="6" t="s">
        <v>432</v>
      </c>
      <c r="B122" s="4" t="s">
        <v>368</v>
      </c>
      <c r="C122" s="4" t="s">
        <v>354</v>
      </c>
      <c r="D122" s="4" t="s">
        <v>328</v>
      </c>
      <c r="E122" s="4" t="s">
        <v>145</v>
      </c>
      <c r="F122" s="6" t="s">
        <v>239</v>
      </c>
    </row>
    <row r="123" spans="1:6" ht="45" x14ac:dyDescent="0.25">
      <c r="A123" s="6" t="s">
        <v>433</v>
      </c>
      <c r="B123" s="4" t="s">
        <v>369</v>
      </c>
      <c r="C123" s="4" t="s">
        <v>331</v>
      </c>
      <c r="D123" s="4" t="s">
        <v>304</v>
      </c>
      <c r="E123" s="4" t="s">
        <v>145</v>
      </c>
      <c r="F123" s="6" t="s">
        <v>239</v>
      </c>
    </row>
    <row r="124" spans="1:6" ht="45" x14ac:dyDescent="0.25">
      <c r="A124" s="6" t="s">
        <v>433</v>
      </c>
      <c r="B124" s="4" t="s">
        <v>370</v>
      </c>
      <c r="C124" s="4" t="s">
        <v>331</v>
      </c>
      <c r="D124" s="4" t="s">
        <v>304</v>
      </c>
      <c r="E124" s="4" t="s">
        <v>145</v>
      </c>
      <c r="F124" s="6" t="s">
        <v>239</v>
      </c>
    </row>
    <row r="125" spans="1:6" ht="45" x14ac:dyDescent="0.25">
      <c r="A125" s="6" t="s">
        <v>433</v>
      </c>
      <c r="B125" s="4" t="s">
        <v>371</v>
      </c>
      <c r="C125" s="4" t="s">
        <v>331</v>
      </c>
      <c r="D125" s="4" t="s">
        <v>304</v>
      </c>
      <c r="E125" s="4" t="s">
        <v>145</v>
      </c>
      <c r="F125" s="6" t="s">
        <v>239</v>
      </c>
    </row>
    <row r="126" spans="1:6" ht="45" x14ac:dyDescent="0.25">
      <c r="A126" s="6" t="s">
        <v>433</v>
      </c>
      <c r="B126" s="4" t="s">
        <v>372</v>
      </c>
      <c r="C126" s="4" t="s">
        <v>331</v>
      </c>
      <c r="D126" s="4" t="s">
        <v>304</v>
      </c>
      <c r="E126" s="4" t="s">
        <v>145</v>
      </c>
      <c r="F126" s="6" t="s">
        <v>239</v>
      </c>
    </row>
    <row r="127" spans="1:6" ht="45" x14ac:dyDescent="0.25">
      <c r="A127" s="6" t="s">
        <v>433</v>
      </c>
      <c r="B127" s="4" t="s">
        <v>373</v>
      </c>
      <c r="C127" s="4" t="s">
        <v>331</v>
      </c>
      <c r="D127" s="4" t="s">
        <v>304</v>
      </c>
      <c r="E127" s="4" t="s">
        <v>145</v>
      </c>
      <c r="F127" s="6" t="s">
        <v>239</v>
      </c>
    </row>
    <row r="128" spans="1:6" ht="45" x14ac:dyDescent="0.25">
      <c r="A128" s="6" t="s">
        <v>433</v>
      </c>
      <c r="B128" s="4" t="s">
        <v>374</v>
      </c>
      <c r="C128" s="4" t="s">
        <v>331</v>
      </c>
      <c r="D128" s="4" t="s">
        <v>304</v>
      </c>
      <c r="E128" s="4" t="s">
        <v>145</v>
      </c>
      <c r="F128" s="6" t="s">
        <v>239</v>
      </c>
    </row>
    <row r="129" spans="1:6" ht="30" x14ac:dyDescent="0.25">
      <c r="A129" s="4" t="s">
        <v>434</v>
      </c>
      <c r="B129" s="4" t="s">
        <v>375</v>
      </c>
      <c r="C129" s="4" t="s">
        <v>331</v>
      </c>
      <c r="D129" s="4" t="s">
        <v>304</v>
      </c>
      <c r="E129" s="4" t="s">
        <v>145</v>
      </c>
      <c r="F129" s="4"/>
    </row>
    <row r="130" spans="1:6" ht="45" x14ac:dyDescent="0.25">
      <c r="A130" s="4" t="s">
        <v>435</v>
      </c>
      <c r="B130" s="4" t="s">
        <v>376</v>
      </c>
      <c r="C130" s="4" t="s">
        <v>331</v>
      </c>
      <c r="D130" s="4" t="s">
        <v>304</v>
      </c>
      <c r="E130" s="4" t="s">
        <v>145</v>
      </c>
      <c r="F130" s="4"/>
    </row>
    <row r="131" spans="1:6" ht="30" x14ac:dyDescent="0.25">
      <c r="A131" s="4" t="s">
        <v>436</v>
      </c>
      <c r="B131" s="4" t="s">
        <v>377</v>
      </c>
      <c r="C131" s="4" t="s">
        <v>331</v>
      </c>
      <c r="D131" s="4" t="s">
        <v>304</v>
      </c>
      <c r="E131" s="4" t="s">
        <v>145</v>
      </c>
      <c r="F131" s="4"/>
    </row>
    <row r="132" spans="1:6" ht="30" x14ac:dyDescent="0.25">
      <c r="A132" s="4" t="s">
        <v>437</v>
      </c>
      <c r="B132" s="4" t="s">
        <v>378</v>
      </c>
      <c r="C132" s="4" t="s">
        <v>331</v>
      </c>
      <c r="D132" s="4" t="s">
        <v>379</v>
      </c>
      <c r="E132" s="4" t="s">
        <v>145</v>
      </c>
      <c r="F132" s="4" t="s">
        <v>380</v>
      </c>
    </row>
    <row r="133" spans="1:6" ht="75" x14ac:dyDescent="0.25">
      <c r="A133" s="4" t="s">
        <v>381</v>
      </c>
      <c r="B133" s="4" t="s">
        <v>381</v>
      </c>
      <c r="C133" s="4" t="s">
        <v>284</v>
      </c>
      <c r="D133" s="4" t="s">
        <v>381</v>
      </c>
      <c r="E133" s="4" t="s">
        <v>145</v>
      </c>
      <c r="F133" s="4" t="s">
        <v>382</v>
      </c>
    </row>
    <row r="134" spans="1:6" ht="75" x14ac:dyDescent="0.25">
      <c r="A134" s="4" t="s">
        <v>383</v>
      </c>
      <c r="B134" s="4" t="s">
        <v>384</v>
      </c>
      <c r="C134" s="4" t="s">
        <v>385</v>
      </c>
      <c r="D134" s="4" t="s">
        <v>383</v>
      </c>
      <c r="E134" s="4" t="s">
        <v>145</v>
      </c>
      <c r="F134" s="4" t="s">
        <v>382</v>
      </c>
    </row>
    <row r="135" spans="1:6" ht="75" x14ac:dyDescent="0.25">
      <c r="A135" s="4" t="s">
        <v>386</v>
      </c>
      <c r="B135" s="4" t="s">
        <v>387</v>
      </c>
      <c r="C135" s="4" t="s">
        <v>388</v>
      </c>
      <c r="D135" s="4" t="s">
        <v>386</v>
      </c>
      <c r="E135" s="4" t="s">
        <v>145</v>
      </c>
      <c r="F135" s="4" t="s">
        <v>382</v>
      </c>
    </row>
    <row r="136" spans="1:6" ht="75" x14ac:dyDescent="0.25">
      <c r="A136" s="4" t="s">
        <v>389</v>
      </c>
      <c r="B136" s="4" t="s">
        <v>390</v>
      </c>
      <c r="C136" s="4" t="s">
        <v>388</v>
      </c>
      <c r="D136" s="4" t="s">
        <v>389</v>
      </c>
      <c r="E136" s="4" t="s">
        <v>145</v>
      </c>
      <c r="F136" s="4" t="s">
        <v>382</v>
      </c>
    </row>
    <row r="137" spans="1:6" ht="45" x14ac:dyDescent="0.25">
      <c r="A137" s="4" t="s">
        <v>391</v>
      </c>
      <c r="B137" s="4" t="s">
        <v>392</v>
      </c>
      <c r="C137" s="4" t="s">
        <v>393</v>
      </c>
      <c r="D137" s="4" t="s">
        <v>394</v>
      </c>
      <c r="E137" s="4" t="s">
        <v>145</v>
      </c>
      <c r="F137" s="4"/>
    </row>
    <row r="138" spans="1:6" ht="60" x14ac:dyDescent="0.25">
      <c r="A138" s="4" t="s">
        <v>395</v>
      </c>
      <c r="B138" s="4" t="s">
        <v>396</v>
      </c>
      <c r="C138" s="4" t="s">
        <v>393</v>
      </c>
      <c r="D138" s="4" t="s">
        <v>397</v>
      </c>
      <c r="E138" s="4" t="s">
        <v>145</v>
      </c>
      <c r="F138" s="4" t="s">
        <v>398</v>
      </c>
    </row>
    <row r="139" spans="1:6" ht="45" x14ac:dyDescent="0.25">
      <c r="A139" s="4" t="s">
        <v>399</v>
      </c>
      <c r="B139" s="4" t="s">
        <v>400</v>
      </c>
      <c r="C139" s="4" t="s">
        <v>393</v>
      </c>
      <c r="D139" s="4" t="s">
        <v>400</v>
      </c>
      <c r="E139" s="4" t="s">
        <v>145</v>
      </c>
      <c r="F139" s="4"/>
    </row>
    <row r="140" spans="1:6" ht="30" x14ac:dyDescent="0.25">
      <c r="A140" s="4" t="s">
        <v>401</v>
      </c>
      <c r="B140" s="4" t="s">
        <v>402</v>
      </c>
      <c r="C140" s="4" t="s">
        <v>284</v>
      </c>
      <c r="D140" s="4" t="s">
        <v>402</v>
      </c>
      <c r="E140" s="4" t="s">
        <v>145</v>
      </c>
      <c r="F140" s="4"/>
    </row>
    <row r="141" spans="1:6" ht="30" x14ac:dyDescent="0.25">
      <c r="A141" s="4" t="s">
        <v>403</v>
      </c>
      <c r="B141" s="4" t="s">
        <v>404</v>
      </c>
      <c r="C141" s="4" t="s">
        <v>303</v>
      </c>
      <c r="D141" s="4" t="s">
        <v>403</v>
      </c>
      <c r="E141" s="4" t="s">
        <v>145</v>
      </c>
      <c r="F141" s="4"/>
    </row>
    <row r="142" spans="1:6" ht="45" x14ac:dyDescent="0.25">
      <c r="A142" s="4" t="s">
        <v>405</v>
      </c>
      <c r="B142" s="4" t="s">
        <v>406</v>
      </c>
      <c r="C142" s="4" t="s">
        <v>303</v>
      </c>
      <c r="D142" s="4" t="s">
        <v>405</v>
      </c>
      <c r="E142" s="4" t="s">
        <v>145</v>
      </c>
      <c r="F142" s="4"/>
    </row>
    <row r="143" spans="1:6" ht="45" x14ac:dyDescent="0.25">
      <c r="A143" s="4" t="s">
        <v>407</v>
      </c>
      <c r="B143" s="4" t="s">
        <v>408</v>
      </c>
      <c r="C143" s="4" t="s">
        <v>284</v>
      </c>
      <c r="D143" s="4" t="s">
        <v>407</v>
      </c>
      <c r="E143" s="4" t="s">
        <v>145</v>
      </c>
      <c r="F143" s="4"/>
    </row>
    <row r="144" spans="1:6" ht="30" x14ac:dyDescent="0.25">
      <c r="A144" s="4" t="s">
        <v>409</v>
      </c>
      <c r="B144" s="4" t="s">
        <v>410</v>
      </c>
      <c r="C144" s="4" t="s">
        <v>284</v>
      </c>
      <c r="D144" s="4" t="s">
        <v>409</v>
      </c>
      <c r="E144" s="4" t="s">
        <v>145</v>
      </c>
      <c r="F144" s="4"/>
    </row>
    <row r="145" spans="1:6" ht="30" x14ac:dyDescent="0.25">
      <c r="A145" s="4" t="s">
        <v>411</v>
      </c>
      <c r="B145" s="4" t="s">
        <v>412</v>
      </c>
      <c r="C145" s="4" t="s">
        <v>284</v>
      </c>
      <c r="D145" s="4" t="s">
        <v>411</v>
      </c>
      <c r="E145" s="4" t="s">
        <v>145</v>
      </c>
      <c r="F145" s="4"/>
    </row>
    <row r="146" spans="1:6" ht="45" x14ac:dyDescent="0.25">
      <c r="A146" s="4" t="s">
        <v>413</v>
      </c>
      <c r="B146" s="4" t="s">
        <v>414</v>
      </c>
      <c r="C146" s="4" t="s">
        <v>284</v>
      </c>
      <c r="D146" s="4" t="s">
        <v>413</v>
      </c>
      <c r="E146" s="4" t="s">
        <v>145</v>
      </c>
      <c r="F146" s="4"/>
    </row>
    <row r="147" spans="1:6" ht="30" x14ac:dyDescent="0.25">
      <c r="A147" s="4" t="s">
        <v>415</v>
      </c>
      <c r="B147" s="4" t="s">
        <v>416</v>
      </c>
      <c r="C147" s="4" t="s">
        <v>284</v>
      </c>
      <c r="D147" s="4" t="s">
        <v>415</v>
      </c>
      <c r="E147" s="4" t="s">
        <v>145</v>
      </c>
      <c r="F14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4986-8D45-4F9F-92F2-465D1070B133}">
  <dimension ref="A1:F26"/>
  <sheetViews>
    <sheetView workbookViewId="0">
      <selection sqref="A1:F1"/>
    </sheetView>
  </sheetViews>
  <sheetFormatPr defaultRowHeight="15" x14ac:dyDescent="0.25"/>
  <cols>
    <col min="1" max="1" width="26.42578125" bestFit="1" customWidth="1"/>
    <col min="2" max="2" width="14.85546875" bestFit="1" customWidth="1"/>
    <col min="3" max="3" width="7.85546875" bestFit="1" customWidth="1"/>
    <col min="4" max="4" width="9" bestFit="1" customWidth="1"/>
    <col min="5" max="5" width="39.7109375" bestFit="1" customWidth="1"/>
    <col min="6" max="6" width="90.7109375" customWidth="1"/>
  </cols>
  <sheetData>
    <row r="1" spans="1:6" ht="30" x14ac:dyDescent="0.25">
      <c r="A1" s="5" t="s">
        <v>137</v>
      </c>
      <c r="B1" s="5" t="s">
        <v>457</v>
      </c>
      <c r="C1" s="5" t="s">
        <v>123</v>
      </c>
      <c r="D1" s="5" t="s">
        <v>458</v>
      </c>
      <c r="E1" s="5" t="s">
        <v>459</v>
      </c>
      <c r="F1" s="5" t="s">
        <v>141</v>
      </c>
    </row>
    <row r="2" spans="1:6" x14ac:dyDescent="0.25">
      <c r="A2" t="s">
        <v>460</v>
      </c>
      <c r="B2" s="7" t="s">
        <v>461</v>
      </c>
      <c r="C2" s="7" t="s">
        <v>462</v>
      </c>
      <c r="D2">
        <v>9.1042999999999999E-2</v>
      </c>
      <c r="E2" s="8" t="str">
        <f>IF(B2="","","  "&amp;LEFT(B2&amp;REPT(" ",12),12)&amp;"("&amp;LEFT(C2&amp;REPT(" ",6),6)&amp;")"&amp;REPT(" ",11))</f>
        <v xml:space="preserve">  FC45 Cont   (Tons  )           </v>
      </c>
      <c r="F2" t="s">
        <v>463</v>
      </c>
    </row>
    <row r="3" spans="1:6" x14ac:dyDescent="0.25">
      <c r="A3" t="s">
        <v>464</v>
      </c>
      <c r="B3" s="7" t="s">
        <v>465</v>
      </c>
      <c r="C3" s="7" t="s">
        <v>462</v>
      </c>
      <c r="D3">
        <v>9.1042999999999999E-2</v>
      </c>
      <c r="E3" s="8" t="str">
        <f>IF(B3="","","  "&amp;LEFT(B3&amp;REPT(" ",12),12)&amp;"("&amp;LEFT(C3&amp;REPT(" ",6),6)&amp;")"&amp;REPT(" ",11))</f>
        <v xml:space="preserve">  FC45 Incr   (Tons  )           </v>
      </c>
      <c r="F3" t="s">
        <v>466</v>
      </c>
    </row>
    <row r="4" spans="1:6" x14ac:dyDescent="0.25">
      <c r="A4" t="s">
        <v>467</v>
      </c>
      <c r="B4" s="7" t="s">
        <v>468</v>
      </c>
      <c r="C4" s="7" t="s">
        <v>469</v>
      </c>
      <c r="D4">
        <v>1</v>
      </c>
      <c r="E4" s="8" t="str">
        <f>IF(B4="","","  "&amp;LEFT(B4&amp;REPT(" ",12),12)&amp;"("&amp;LEFT(C4&amp;REPT(" ",6),6)&amp;")"&amp;REPT(" ",11))</f>
        <v xml:space="preserve">  FC Start Gas(mmBtu )           </v>
      </c>
      <c r="F4" t="s">
        <v>470</v>
      </c>
    </row>
    <row r="5" spans="1:6" x14ac:dyDescent="0.25">
      <c r="A5" t="s">
        <v>471</v>
      </c>
      <c r="B5" s="7" t="s">
        <v>472</v>
      </c>
      <c r="C5" s="7" t="s">
        <v>462</v>
      </c>
      <c r="D5">
        <v>5.1546000000000002E-2</v>
      </c>
      <c r="E5" s="8" t="str">
        <f>IF(B5="","","  "&amp;LEFT(B5&amp;REPT(" ",12),12)&amp;"("&amp;LEFT(C5&amp;REPT(" ",6),6)&amp;")"&amp;REPT(" ",11))</f>
        <v xml:space="preserve">  CH Cont Coal(Tons  )           </v>
      </c>
      <c r="F5" t="s">
        <v>473</v>
      </c>
    </row>
    <row r="6" spans="1:6" x14ac:dyDescent="0.25">
      <c r="A6" t="s">
        <v>474</v>
      </c>
      <c r="B6" s="7" t="s">
        <v>475</v>
      </c>
      <c r="C6" s="7" t="s">
        <v>469</v>
      </c>
      <c r="D6">
        <v>1</v>
      </c>
      <c r="E6" s="8" t="str">
        <f>IF(B6="","","  "&amp;LEFT(B6&amp;REPT(" ",12),12)&amp;"("&amp;LEFT(C6&amp;REPT(" ",6),6)&amp;")"&amp;REPT(" ",11))</f>
        <v xml:space="preserve">  EP Cont Gas (mmBtu )           </v>
      </c>
      <c r="F6" t="s">
        <v>476</v>
      </c>
    </row>
    <row r="7" spans="1:6" x14ac:dyDescent="0.25">
      <c r="A7" t="s">
        <v>477</v>
      </c>
      <c r="B7" s="7" t="s">
        <v>478</v>
      </c>
      <c r="C7" s="7" t="s">
        <v>469</v>
      </c>
      <c r="D7">
        <v>1</v>
      </c>
      <c r="E7" s="8" t="str">
        <f>IF(B7="","","  "&amp;LEFT(B7&amp;REPT(" ",12),12)&amp;"("&amp;LEFT(C7&amp;REPT(" ",6),6)&amp;")"&amp;REPT(" ",11))</f>
        <v xml:space="preserve">  CH Start Gas(mmBtu )           </v>
      </c>
      <c r="F7" t="s">
        <v>479</v>
      </c>
    </row>
    <row r="8" spans="1:6" x14ac:dyDescent="0.25">
      <c r="A8" t="s">
        <v>185</v>
      </c>
      <c r="B8" s="7" t="s">
        <v>480</v>
      </c>
      <c r="C8" s="7" t="s">
        <v>481</v>
      </c>
      <c r="D8">
        <v>0.17167399999999999</v>
      </c>
      <c r="E8" s="8" t="str">
        <f>IF(B8="","","  "&amp;LEFT(B8&amp;REPT(" ",12),12)&amp;"("&amp;LEFT(C8&amp;REPT(" ",6),6)&amp;")"&amp;REPT(" ",11))</f>
        <v xml:space="preserve">  #2 Oil      (bbls  )           </v>
      </c>
      <c r="F8" t="s">
        <v>482</v>
      </c>
    </row>
    <row r="9" spans="1:6" x14ac:dyDescent="0.25">
      <c r="A9" t="s">
        <v>483</v>
      </c>
      <c r="B9" s="7" t="s">
        <v>484</v>
      </c>
      <c r="C9" s="7" t="s">
        <v>485</v>
      </c>
      <c r="D9">
        <v>0.17167399999999999</v>
      </c>
      <c r="E9" s="8" t="str">
        <f>IF(B9="","","  "&amp;LEFT(B9&amp;REPT(" ",12),12)&amp;"("&amp;LEFT(C9&amp;REPT(" ",6),6)&amp;")"&amp;REPT(" ",11))</f>
        <v xml:space="preserve">  CH St Oil   (Bbls  )           </v>
      </c>
      <c r="F9" t="s">
        <v>486</v>
      </c>
    </row>
    <row r="10" spans="1:6" x14ac:dyDescent="0.25">
      <c r="A10" t="s">
        <v>487</v>
      </c>
      <c r="B10" s="7" t="s">
        <v>488</v>
      </c>
      <c r="C10" s="7" t="s">
        <v>469</v>
      </c>
      <c r="D10">
        <v>1</v>
      </c>
      <c r="E10" s="8" t="str">
        <f>IF(B10="","","  "&amp;LEFT(B10&amp;REPT(" ",12),12)&amp;"("&amp;LEFT(C10&amp;REPT(" ",6),6)&amp;")"&amp;REPT(" ",11))</f>
        <v xml:space="preserve">  TW CONT GAS (mmBtu )           </v>
      </c>
      <c r="F10" t="s">
        <v>489</v>
      </c>
    </row>
    <row r="11" spans="1:6" x14ac:dyDescent="0.25">
      <c r="A11" t="s">
        <v>490</v>
      </c>
      <c r="B11" s="7" t="s">
        <v>491</v>
      </c>
      <c r="C11" s="7" t="s">
        <v>469</v>
      </c>
      <c r="D11">
        <v>1</v>
      </c>
      <c r="E11" s="8" t="str">
        <f>IF(B11="","","  "&amp;LEFT(B11&amp;REPT(" ",12),12)&amp;"("&amp;LEFT(C11&amp;REPT(" ",6),6)&amp;")"&amp;REPT(" ",11))</f>
        <v xml:space="preserve">  EP Interrupt(mmBtu )           </v>
      </c>
      <c r="F11" t="s">
        <v>492</v>
      </c>
    </row>
    <row r="12" spans="1:6" x14ac:dyDescent="0.25">
      <c r="A12" t="s">
        <v>493</v>
      </c>
      <c r="B12" s="7" t="s">
        <v>494</v>
      </c>
      <c r="C12" s="7" t="s">
        <v>469</v>
      </c>
      <c r="D12">
        <v>1</v>
      </c>
      <c r="E12" s="8" t="str">
        <f>IF(B12="","","  "&amp;LEFT(B12&amp;REPT(" ",12),12)&amp;"("&amp;LEFT(C12&amp;REPT(" ",6),6)&amp;")"&amp;REPT(" ",11))</f>
        <v xml:space="preserve">  PERMIAN GAS (mmBtu )           </v>
      </c>
      <c r="F12" t="s">
        <v>479</v>
      </c>
    </row>
    <row r="13" spans="1:6" x14ac:dyDescent="0.25">
      <c r="A13" t="s">
        <v>495</v>
      </c>
      <c r="B13" s="7" t="s">
        <v>496</v>
      </c>
      <c r="C13" s="7" t="s">
        <v>469</v>
      </c>
      <c r="D13">
        <v>1</v>
      </c>
      <c r="E13" s="8" t="str">
        <f>IF(B13="","","  "&amp;LEFT(B13&amp;REPT(" ",12),12)&amp;"("&amp;LEFT(C13&amp;REPT(" ",6),6)&amp;")"&amp;REPT(" ",11))</f>
        <v xml:space="preserve">  EP Inc Gas  (mmBtu )           </v>
      </c>
      <c r="F13" t="s">
        <v>492</v>
      </c>
    </row>
    <row r="14" spans="1:6" x14ac:dyDescent="0.25">
      <c r="A14" t="s">
        <v>497</v>
      </c>
      <c r="B14" s="8"/>
      <c r="C14" s="8"/>
      <c r="E14" s="8" t="str">
        <f>IF(B14="","","  "&amp;LEFT(B14&amp;REPT(" ",12),12)&amp;"("&amp;LEFT(C14&amp;REPT(" ",6),6)&amp;")"&amp;REPT(" ",11))</f>
        <v/>
      </c>
      <c r="F14" t="s">
        <v>498</v>
      </c>
    </row>
    <row r="15" spans="1:6" x14ac:dyDescent="0.25">
      <c r="A15" t="s">
        <v>499</v>
      </c>
      <c r="B15" s="8"/>
      <c r="C15" s="8"/>
      <c r="E15" s="8" t="str">
        <f>IF(B15="","","  "&amp;LEFT(B15&amp;REPT(" ",12),12)&amp;"("&amp;LEFT(C15&amp;REPT(" ",6),6)&amp;")"&amp;REPT(" ",11))</f>
        <v/>
      </c>
      <c r="F15" t="s">
        <v>500</v>
      </c>
    </row>
    <row r="16" spans="1:6" x14ac:dyDescent="0.25">
      <c r="A16" t="s">
        <v>501</v>
      </c>
      <c r="B16" s="8"/>
      <c r="C16" s="8"/>
      <c r="E16" s="8" t="str">
        <f>IF(B16="","","  "&amp;LEFT(B16&amp;REPT(" ",12),12)&amp;"("&amp;LEFT(C16&amp;REPT(" ",6),6)&amp;")"&amp;REPT(" ",11))</f>
        <v/>
      </c>
      <c r="F16" t="s">
        <v>502</v>
      </c>
    </row>
    <row r="17" spans="1:6" x14ac:dyDescent="0.25">
      <c r="A17" t="s">
        <v>503</v>
      </c>
      <c r="B17" s="8"/>
      <c r="C17" s="8"/>
      <c r="E17" s="8" t="str">
        <f>IF(B17="","","  "&amp;LEFT(B17&amp;REPT(" ",12),12)&amp;"("&amp;LEFT(C17&amp;REPT(" ",6),6)&amp;")"&amp;REPT(" ",11))</f>
        <v/>
      </c>
      <c r="F17" t="s">
        <v>504</v>
      </c>
    </row>
    <row r="18" spans="1:6" x14ac:dyDescent="0.25">
      <c r="A18" t="s">
        <v>505</v>
      </c>
      <c r="B18" s="8"/>
      <c r="C18" s="8"/>
      <c r="E18" s="8" t="str">
        <f>IF(B18="","","  "&amp;LEFT(B18&amp;REPT(" ",12),12)&amp;"("&amp;LEFT(C18&amp;REPT(" ",6),6)&amp;")"&amp;REPT(" ",11))</f>
        <v/>
      </c>
      <c r="F18" t="s">
        <v>504</v>
      </c>
    </row>
    <row r="19" spans="1:6" x14ac:dyDescent="0.25">
      <c r="A19" t="s">
        <v>506</v>
      </c>
      <c r="B19" s="8"/>
      <c r="C19" s="8"/>
      <c r="E19" s="8" t="str">
        <f>IF(B19="","","  "&amp;LEFT(B19&amp;REPT(" ",12),12)&amp;"("&amp;LEFT(C19&amp;REPT(" ",6),6)&amp;")"&amp;REPT(" ",11))</f>
        <v/>
      </c>
      <c r="F19" t="s">
        <v>504</v>
      </c>
    </row>
    <row r="20" spans="1:6" x14ac:dyDescent="0.25">
      <c r="A20" t="s">
        <v>507</v>
      </c>
      <c r="B20" s="8"/>
      <c r="C20" s="8"/>
      <c r="E20" s="8" t="str">
        <f>IF(B20="","","  "&amp;LEFT(B20&amp;REPT(" ",12),12)&amp;"("&amp;LEFT(C20&amp;REPT(" ",6),6)&amp;")"&amp;REPT(" ",11))</f>
        <v/>
      </c>
      <c r="F20" t="s">
        <v>504</v>
      </c>
    </row>
    <row r="21" spans="1:6" x14ac:dyDescent="0.25">
      <c r="A21" t="s">
        <v>508</v>
      </c>
      <c r="B21" s="8"/>
      <c r="C21" s="8"/>
      <c r="E21" s="8" t="str">
        <f>IF(B21="","","  "&amp;LEFT(B21&amp;REPT(" ",12),12)&amp;"("&amp;LEFT(C21&amp;REPT(" ",6),6)&amp;")"&amp;REPT(" ",11))</f>
        <v/>
      </c>
      <c r="F21" t="s">
        <v>504</v>
      </c>
    </row>
    <row r="22" spans="1:6" x14ac:dyDescent="0.25">
      <c r="A22" t="s">
        <v>509</v>
      </c>
      <c r="B22" s="8"/>
      <c r="C22" s="8"/>
      <c r="E22" s="8" t="str">
        <f>IF(B22="","","  "&amp;LEFT(B22&amp;REPT(" ",12),12)&amp;"("&amp;LEFT(C22&amp;REPT(" ",6),6)&amp;")"&amp;REPT(" ",11))</f>
        <v/>
      </c>
      <c r="F22" t="s">
        <v>510</v>
      </c>
    </row>
    <row r="23" spans="1:6" x14ac:dyDescent="0.25">
      <c r="A23" t="s">
        <v>396</v>
      </c>
      <c r="B23" s="8"/>
      <c r="C23" s="8"/>
      <c r="E23" s="8" t="str">
        <f>IF(B23="","","  "&amp;LEFT(B23&amp;REPT(" ",12),12)&amp;"("&amp;LEFT(C23&amp;REPT(" ",6),6)&amp;")"&amp;REPT(" ",11))</f>
        <v/>
      </c>
      <c r="F23" t="s">
        <v>510</v>
      </c>
    </row>
    <row r="24" spans="1:6" x14ac:dyDescent="0.25">
      <c r="A24" t="s">
        <v>511</v>
      </c>
      <c r="B24" s="8"/>
      <c r="C24" s="8"/>
      <c r="E24" s="8" t="str">
        <f>IF(B24="","","  "&amp;LEFT(B24&amp;REPT(" ",12),12)&amp;"("&amp;LEFT(C24&amp;REPT(" ",6),6)&amp;")"&amp;REPT(" ",11))</f>
        <v/>
      </c>
      <c r="F24" t="s">
        <v>510</v>
      </c>
    </row>
    <row r="25" spans="1:6" x14ac:dyDescent="0.25">
      <c r="A25" t="s">
        <v>512</v>
      </c>
      <c r="B25" s="8"/>
      <c r="C25" s="8"/>
      <c r="E25" s="8" t="str">
        <f>IF(B25="","","  "&amp;LEFT(B25&amp;REPT(" ",12),12)&amp;"("&amp;LEFT(C25&amp;REPT(" ",6),6)&amp;")"&amp;REPT(" ",11))</f>
        <v/>
      </c>
      <c r="F25" t="s">
        <v>510</v>
      </c>
    </row>
    <row r="26" spans="1:6" x14ac:dyDescent="0.25">
      <c r="A26" t="s">
        <v>513</v>
      </c>
      <c r="B26" s="8"/>
      <c r="C26" s="8"/>
      <c r="E26" s="8" t="str">
        <f>IF(B26="","","  "&amp;LEFT(B26&amp;REPT(" ",12),12)&amp;"("&amp;LEFT(C26&amp;REPT(" ",6),6)&amp;")"&amp;REPT(" ",11))</f>
        <v/>
      </c>
      <c r="F26" t="s">
        <v>510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5" x14ac:dyDescent="0.25"/>
  <sheetData>
    <row r="1" spans="1:5" x14ac:dyDescent="0.25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25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25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5" x14ac:dyDescent="0.25"/>
  <cols>
    <col min="1" max="1" width="12.28515625" customWidth="1"/>
  </cols>
  <sheetData>
    <row r="1" spans="1:4" x14ac:dyDescent="0.25">
      <c r="A1" s="1" t="s">
        <v>5</v>
      </c>
      <c r="B1" s="1" t="s">
        <v>6</v>
      </c>
      <c r="C1" s="1" t="s">
        <v>10</v>
      </c>
      <c r="D1" s="1" t="s">
        <v>141</v>
      </c>
    </row>
    <row r="2" spans="1:4" x14ac:dyDescent="0.25">
      <c r="A2" t="s">
        <v>18</v>
      </c>
      <c r="B2" t="s">
        <v>19</v>
      </c>
      <c r="C2" t="s">
        <v>64</v>
      </c>
    </row>
    <row r="3" spans="1:4" x14ac:dyDescent="0.25">
      <c r="A3" t="s">
        <v>18</v>
      </c>
      <c r="B3" t="s">
        <v>65</v>
      </c>
      <c r="C3" t="s">
        <v>66</v>
      </c>
    </row>
    <row r="4" spans="1:4" x14ac:dyDescent="0.25">
      <c r="A4" t="s">
        <v>18</v>
      </c>
      <c r="B4" t="s">
        <v>26</v>
      </c>
      <c r="C4" t="s">
        <v>67</v>
      </c>
    </row>
    <row r="5" spans="1:4" x14ac:dyDescent="0.25">
      <c r="A5" t="s">
        <v>18</v>
      </c>
      <c r="B5" t="s">
        <v>68</v>
      </c>
      <c r="C5" t="s">
        <v>68</v>
      </c>
    </row>
    <row r="6" spans="1:4" x14ac:dyDescent="0.25">
      <c r="A6" t="s">
        <v>18</v>
      </c>
      <c r="B6" t="s">
        <v>454</v>
      </c>
      <c r="C6" t="s">
        <v>455</v>
      </c>
      <c r="D6" t="s">
        <v>456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44</v>
      </c>
      <c r="B2" t="s">
        <v>45</v>
      </c>
      <c r="C2">
        <v>1E-3</v>
      </c>
    </row>
    <row r="3" spans="1:3" x14ac:dyDescent="0.25">
      <c r="A3" t="s">
        <v>44</v>
      </c>
      <c r="B3" t="s">
        <v>46</v>
      </c>
      <c r="C3">
        <v>9.9999999999999995E-7</v>
      </c>
    </row>
    <row r="4" spans="1:3" x14ac:dyDescent="0.25">
      <c r="A4" t="s">
        <v>47</v>
      </c>
      <c r="B4" t="s">
        <v>48</v>
      </c>
      <c r="C4">
        <v>1</v>
      </c>
    </row>
    <row r="5" spans="1:3" x14ac:dyDescent="0.25">
      <c r="A5" t="s">
        <v>48</v>
      </c>
      <c r="B5" t="s">
        <v>47</v>
      </c>
      <c r="C5">
        <v>1</v>
      </c>
    </row>
    <row r="6" spans="1:3" x14ac:dyDescent="0.25">
      <c r="A6" s="2">
        <v>0</v>
      </c>
      <c r="B6" t="s">
        <v>49</v>
      </c>
      <c r="C6">
        <v>1000</v>
      </c>
    </row>
    <row r="7" spans="1:3" x14ac:dyDescent="0.25">
      <c r="A7" t="s">
        <v>50</v>
      </c>
      <c r="B7" t="s">
        <v>49</v>
      </c>
      <c r="C7">
        <v>1000000</v>
      </c>
    </row>
    <row r="8" spans="1:3" x14ac:dyDescent="0.25">
      <c r="A8" t="s">
        <v>49</v>
      </c>
      <c r="B8" s="2">
        <v>0</v>
      </c>
      <c r="C8">
        <v>1E-3</v>
      </c>
    </row>
    <row r="9" spans="1:3" x14ac:dyDescent="0.25">
      <c r="A9" t="s">
        <v>51</v>
      </c>
      <c r="B9" t="s">
        <v>47</v>
      </c>
      <c r="C9">
        <v>1E-3</v>
      </c>
    </row>
    <row r="10" spans="1:3" x14ac:dyDescent="0.25">
      <c r="A10" t="s">
        <v>47</v>
      </c>
      <c r="B10" t="s">
        <v>51</v>
      </c>
      <c r="C10">
        <v>1000</v>
      </c>
    </row>
    <row r="11" spans="1:3" x14ac:dyDescent="0.25">
      <c r="A11" t="s">
        <v>52</v>
      </c>
      <c r="B11" t="s">
        <v>48</v>
      </c>
      <c r="C11">
        <v>1E-3</v>
      </c>
    </row>
    <row r="12" spans="1:3" x14ac:dyDescent="0.25">
      <c r="A12" t="s">
        <v>48</v>
      </c>
      <c r="B12" t="s">
        <v>52</v>
      </c>
      <c r="C12">
        <v>1000</v>
      </c>
    </row>
    <row r="13" spans="1:3" x14ac:dyDescent="0.25">
      <c r="A13" t="s">
        <v>48</v>
      </c>
      <c r="B13" t="s">
        <v>53</v>
      </c>
      <c r="C13">
        <v>1E-3</v>
      </c>
    </row>
    <row r="14" spans="1:3" x14ac:dyDescent="0.25">
      <c r="A14" t="s">
        <v>53</v>
      </c>
      <c r="B14" t="s">
        <v>48</v>
      </c>
      <c r="C14">
        <v>1000</v>
      </c>
    </row>
    <row r="15" spans="1:3" x14ac:dyDescent="0.25">
      <c r="A15" t="s">
        <v>54</v>
      </c>
      <c r="B15" t="s">
        <v>55</v>
      </c>
      <c r="C15">
        <v>1000</v>
      </c>
    </row>
    <row r="16" spans="1:3" x14ac:dyDescent="0.25">
      <c r="A16" t="s">
        <v>55</v>
      </c>
      <c r="B16" t="s">
        <v>54</v>
      </c>
      <c r="C16">
        <v>1E-3</v>
      </c>
    </row>
    <row r="17" spans="1:3" x14ac:dyDescent="0.25">
      <c r="A17" t="s">
        <v>54</v>
      </c>
      <c r="B17" t="s">
        <v>56</v>
      </c>
      <c r="C17">
        <v>1000000</v>
      </c>
    </row>
    <row r="18" spans="1:3" x14ac:dyDescent="0.25">
      <c r="A18" t="s">
        <v>56</v>
      </c>
      <c r="B18" t="s">
        <v>54</v>
      </c>
      <c r="C18">
        <v>9.9999999999999995E-7</v>
      </c>
    </row>
    <row r="19" spans="1:3" x14ac:dyDescent="0.25">
      <c r="A19" t="s">
        <v>55</v>
      </c>
      <c r="B19" t="s">
        <v>56</v>
      </c>
      <c r="C19">
        <v>1000</v>
      </c>
    </row>
    <row r="20" spans="1:3" x14ac:dyDescent="0.25">
      <c r="A20" t="s">
        <v>56</v>
      </c>
      <c r="B20" t="s">
        <v>55</v>
      </c>
      <c r="C20">
        <v>1E-3</v>
      </c>
    </row>
    <row r="21" spans="1:3" x14ac:dyDescent="0.25">
      <c r="A21" t="s">
        <v>57</v>
      </c>
      <c r="B21" t="s">
        <v>58</v>
      </c>
      <c r="C21">
        <v>1</v>
      </c>
    </row>
    <row r="22" spans="1:3" x14ac:dyDescent="0.25">
      <c r="A22" t="s">
        <v>59</v>
      </c>
      <c r="B22" t="s">
        <v>60</v>
      </c>
      <c r="C22">
        <v>1</v>
      </c>
    </row>
    <row r="23" spans="1:3" x14ac:dyDescent="0.25">
      <c r="A23" t="s">
        <v>61</v>
      </c>
      <c r="B23" t="s">
        <v>62</v>
      </c>
      <c r="C23">
        <v>1</v>
      </c>
    </row>
    <row r="24" spans="1:3" x14ac:dyDescent="0.25">
      <c r="A24" t="s">
        <v>62</v>
      </c>
      <c r="B24" t="s">
        <v>61</v>
      </c>
      <c r="C24">
        <v>1</v>
      </c>
    </row>
    <row r="25" spans="1:3" x14ac:dyDescent="0.25">
      <c r="A25" t="s">
        <v>63</v>
      </c>
      <c r="B25" t="s">
        <v>62</v>
      </c>
      <c r="C25">
        <v>5.0000000000000001E-4</v>
      </c>
    </row>
    <row r="26" spans="1:3" x14ac:dyDescent="0.25">
      <c r="A26" t="s">
        <v>62</v>
      </c>
      <c r="B26" t="s">
        <v>63</v>
      </c>
      <c r="C26">
        <v>2000</v>
      </c>
    </row>
    <row r="27" spans="1:3" x14ac:dyDescent="0.25">
      <c r="A27" t="s">
        <v>116</v>
      </c>
      <c r="B27" t="s">
        <v>57</v>
      </c>
      <c r="C27">
        <f>1/100</f>
        <v>0.01</v>
      </c>
    </row>
    <row r="28" spans="1:3" x14ac:dyDescent="0.25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Blueprint_std</vt:lpstr>
      <vt:lpstr>Generator_name_map</vt:lpstr>
      <vt:lpstr>Contract_name_map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2026-09-14T02:19:11Z</dcterms:modified>
</cp:coreProperties>
</file>